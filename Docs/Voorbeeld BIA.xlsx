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filterPrivacy="1"/>
  <xr:revisionPtr revIDLastSave="0" documentId="8_{B70C1D3D-4FC5-D24A-A5BB-13FB64B053F0}" xr6:coauthVersionLast="47" xr6:coauthVersionMax="47" xr10:uidLastSave="{00000000-0000-0000-0000-000000000000}"/>
  <bookViews>
    <workbookView xWindow="0" yWindow="660" windowWidth="30240" windowHeight="17720" tabRatio="700" activeTab="7" xr2:uid="{00000000-000D-0000-FFFF-FFFF00000000}"/>
  </bookViews>
  <sheets>
    <sheet name="Algemeen" sheetId="1" r:id="rId1"/>
    <sheet name="Algemene Vragen" sheetId="7" r:id="rId2"/>
    <sheet name="Beschikbaarheid" sheetId="2" r:id="rId3"/>
    <sheet name="Integriteit" sheetId="3" r:id="rId4"/>
    <sheet name="Vertrouwelijkheid" sheetId="4" r:id="rId5"/>
    <sheet name="Resultaat" sheetId="12" r:id="rId6"/>
    <sheet name="Waarderingstabellen" sheetId="8" state="hidden" r:id="rId7"/>
    <sheet name="Kladblok" sheetId="9" r:id="rId8"/>
  </sheets>
  <externalReferences>
    <externalReference r:id="rId9"/>
  </externalReferences>
  <definedNames>
    <definedName name="_ftn1" localSheetId="2">Beschikbaarheid!$B$34</definedName>
    <definedName name="_ftnref1" localSheetId="0">Algemeen!#REF!</definedName>
    <definedName name="_Toc367866010" localSheetId="0">Algemeen!$A$43</definedName>
    <definedName name="besalt">Waarderingstabellen!$Q$4</definedName>
    <definedName name="besalt1">Waarderingstabellen!$Q$4:$Q$5</definedName>
    <definedName name="beschikbaarheid" localSheetId="2">Waarderingstabellen!$O$4:$O$9</definedName>
    <definedName name="beschikbaarheid">Waarderingstabellen!$O$4:$O$9</definedName>
    <definedName name="Integriteit" localSheetId="5">[1]waarderingstabellen!$O$12:$O$17</definedName>
    <definedName name="Integriteit">Waarderingstabellen!$O$12:$O$17</definedName>
    <definedName name="keuzep2" localSheetId="5">[1]waarderingstabellen!$Q$29:$Q$30</definedName>
    <definedName name="keuzep2">Waarderingstabellen!$Q$29:$Q$30</definedName>
    <definedName name="_xlnm.Print_Area" localSheetId="1">'Algemene Vragen'!$A$1:$B$77</definedName>
    <definedName name="_xlnm.Print_Area" localSheetId="2">Beschikbaarheid!$B$1:$I$25</definedName>
    <definedName name="_xlnm.Print_Area" localSheetId="3">Integriteit!$B$1:$I$20</definedName>
    <definedName name="_xlnm.Print_Area" localSheetId="5">Resultaat!$C$2:$E$34</definedName>
    <definedName name="_xlnm.Print_Area" localSheetId="4">Vertrouwelijkheid!$B$1:$I$22</definedName>
    <definedName name="privacy" localSheetId="5">[1]waarderingstabellen!$O$29:$O$32</definedName>
    <definedName name="privacy">Waarderingstabellen!$O$29:$O$32</definedName>
    <definedName name="Vertrouwelijkheid" localSheetId="5">[1]waarderingstabellen!$O$21:$O$26</definedName>
    <definedName name="Vertrouwelijkheid">Waarderingstabellen!$O$21:$O$26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1" l="1"/>
  <c r="B30" i="2" l="1"/>
  <c r="A23" i="1" s="1"/>
  <c r="A39" i="1" l="1"/>
  <c r="A38" i="1"/>
  <c r="A37" i="1"/>
  <c r="A36" i="1"/>
  <c r="A35" i="1"/>
  <c r="A33" i="1"/>
  <c r="A31" i="1"/>
  <c r="A30" i="1"/>
  <c r="A29" i="1"/>
  <c r="A21" i="1"/>
  <c r="A26" i="1"/>
  <c r="A24" i="1"/>
  <c r="B26" i="4"/>
  <c r="B25" i="4" l="1"/>
  <c r="A40" i="1" s="1"/>
  <c r="B27" i="4"/>
  <c r="B28" i="4"/>
  <c r="B29" i="4"/>
  <c r="B22" i="3"/>
  <c r="B23" i="3"/>
  <c r="A32" i="1" s="1"/>
  <c r="B24" i="3"/>
  <c r="B25" i="3"/>
  <c r="B26" i="3"/>
  <c r="B27" i="2"/>
  <c r="B28" i="2"/>
  <c r="A25" i="1" s="1"/>
  <c r="B29" i="2"/>
  <c r="B31" i="2"/>
  <c r="A22" i="1" s="1"/>
  <c r="D20" i="4"/>
  <c r="D21" i="4" s="1"/>
  <c r="D22" i="4" s="1"/>
  <c r="F18" i="3" l="1"/>
  <c r="G18" i="3"/>
  <c r="H18" i="3"/>
  <c r="D18" i="3"/>
  <c r="D19" i="3" s="1"/>
  <c r="D23" i="2"/>
  <c r="D24" i="2" s="1"/>
  <c r="F23" i="2"/>
  <c r="F24" i="2" s="1"/>
  <c r="D22" i="12"/>
  <c r="D9" i="12"/>
  <c r="F20" i="4" l="1"/>
  <c r="F21" i="4" s="1"/>
  <c r="G20" i="4"/>
  <c r="G21" i="4" s="1"/>
  <c r="H20" i="4"/>
  <c r="H21" i="4" s="1"/>
  <c r="I20" i="4"/>
  <c r="I21" i="4" l="1"/>
  <c r="H19" i="3"/>
  <c r="I23" i="2"/>
  <c r="H23" i="2" l="1"/>
  <c r="H24" i="2" s="1"/>
  <c r="I25" i="2" l="1"/>
  <c r="D25" i="2"/>
  <c r="G23" i="2"/>
  <c r="G24" i="2" s="1"/>
  <c r="G19" i="3"/>
  <c r="D8" i="12" l="1"/>
  <c r="D7" i="12"/>
  <c r="D6" i="12"/>
  <c r="D5" i="12"/>
  <c r="D4" i="12"/>
  <c r="I18" i="3"/>
  <c r="E20" i="4"/>
  <c r="E21" i="4" s="1"/>
  <c r="E18" i="3"/>
  <c r="E19" i="3" s="1"/>
  <c r="F19" i="3"/>
  <c r="I20" i="3" l="1"/>
  <c r="E14" i="12" s="1"/>
  <c r="D20" i="3"/>
  <c r="D14" i="12" s="1"/>
  <c r="D15" i="12"/>
  <c r="E15" i="12"/>
  <c r="E23" i="2" l="1"/>
  <c r="E24" i="2" s="1"/>
  <c r="D13" i="12" l="1"/>
  <c r="E13" i="12"/>
</calcChain>
</file>

<file path=xl/sharedStrings.xml><?xml version="1.0" encoding="utf-8"?>
<sst xmlns="http://schemas.openxmlformats.org/spreadsheetml/2006/main" count="437" uniqueCount="350">
  <si>
    <t>Classificatietoets BIO2 gemeenten</t>
  </si>
  <si>
    <t>1.1 Waarom classificeren:</t>
  </si>
  <si>
    <t>Voorliggende handreiking beschrijft een good practice voor classificatie van informatie.</t>
  </si>
  <si>
    <t xml:space="preserve">Het belang van classificeren is een inzicht krijgen in de waarde van informatie over de assen beschikbaarheid, integriteit en vertrouwelijkheid.  Als dat inzicht er is kan men passende maatregelen nemen om die informatie te beschermen. Voor gemeenten zijn dat de maatregelen uit de BIO2 en eventueel de aanvullende gemeentelijke set van maatregelen. De voorgestelde classificatiemethodiek geeft een snelle indicatie van het belang van de informatie die verwerkt wordt in informatiesystemen en is daarmee een basis voor de maatregelselectie of een aanvullende risicoanalyse. De Cbw spreekt ook nog over authenticiteit en dat zat al in de integriteits vragen, en maakt dus een integraal onderdeel uit van de toets. </t>
  </si>
  <si>
    <r>
      <t xml:space="preserve">Deze dataclassificatietoets BIO2 is  een hulpmiddel om vast te kunnen stellen welke classificatie informatie heeft die binnen een gemeentelijk proces gebruikt wordt. </t>
    </r>
    <r>
      <rPr>
        <b/>
        <sz val="10"/>
        <color theme="1"/>
        <rFont val="Calibri"/>
        <family val="2"/>
        <scheme val="minor"/>
      </rPr>
      <t>Deze dataclassificatietoets BIO2 is niet verplicht,</t>
    </r>
    <r>
      <rPr>
        <sz val="10"/>
        <color theme="1"/>
        <rFont val="Calibri"/>
        <family val="2"/>
        <scheme val="minor"/>
      </rPr>
      <t xml:space="preserve"> maar kan helpen als er toch twijfels zijn of bepaalde informatie die binnen een gemeentelijk proces gebruikt wordt te classificeren en zo ook de mogelijkheid te creëren dat de juiste beschermingsmaatregelen gebruikt gaan worden. Deze dataclassificatie kan op 2 manieren worden toegepast:</t>
    </r>
  </si>
  <si>
    <t xml:space="preserve">1.    Om de waarde van de informatie te bepalen, op basis van de criteria in deze tool.  
Op basis van de classificatie van informatie kunnen nadere beveiligings/beschermingsmaatregelen beveiligingsmaatregelen worden toegepast. Hier bestaan zelfs al kaders voor (ABDO/ABRO) die ook voor gemeenten goed zijn om naar te kijken, eventueel voorafgegaan door een aanvullende risicoanalyse.  </t>
  </si>
  <si>
    <t>2.    Om in de fase tijdens het starten van een project of voor een nieuw informatiesysteem, de dataclassificatietoets BIO2 op te laten stellen door de proces verantwoordelijke. Het resultaat kan dan leiden tot het eventueel nemen van extra beveiligingsmaatregelen of het uitvoeren van een risicoanalyse.</t>
  </si>
  <si>
    <t>Het toekennen van classificatieniveaus aan informatie is belangrijk, omdat daarmee het (vereiste) beschermingsniveau kenbaar gemaakt wordt. Aan de hand hiervan kan worden bepaald welke beveiligingseisen gelden en welke maatregelen moeten worden genomen. Dit is bijvoorbeeld relevant voor beheerders die lang niet altijd bekend zijn met de inhoud en dus de waarde van informatie, maar wel worden geacht adequate beschermingsmaatregelen te treffen. De volgende factoren oefenen invloed uit op de adequate beveiligingsmaatregelen: 
- wet- en regelgeving, 
- beleidsuitgangspunten, 
- architectuurprincipes, 
- BIV-classificatieniveau, 
- dreigingsprofiel 
en het basisbeveiligingsniveau. 
Het resultaat van deze dataclassificatietoets BIO2 kan duiden op een zwaartepunt in het te beschermen belang. Er is bijvoorbeeld een hogere score voor beschikbaarheid, maar niet op integriteit en vertrouwelijkheid. In de daarna uit te voeren risicoanalyse dient dan de nadruk te liggen op verhogen van dat belang, in dit voorbeeld de beschikbaarheid. De gemeente doet er goed aan om voor classificatie wel het een en ander te regelen conform de onderstaande BIO2-maatregelen. Bij dataclassificatie hoort bijvoorbeeld classificatiebeleid en -procedures en labelling van informatie. Met basis beveiligingsniveau wordt bedoeld dat de uitkomst van een dataclassificatietoets ook kan leiden tot het treffen van bepaalde maatregelen die behoren bij de dataclassificatie van te voren bepaald zijn. Een voorbeeld hiervan is de ABDO of ABRO maar het kan ook een gemeentelijke set van maatregelen zijn die bij een bepaalde dataclassificatie hoort. )*</t>
  </si>
  <si>
    <t>Verwijzingen in de Cyberbeveiligingswet (Cbw) en Cyberbeveiligingsbesluit (Cbb):
Cbw art. 21.3.i
Cbb art. 16.1, 16.2, 16.3
Verwijzingen naar de Baseline Informatiebeveiliging Overheid versie 2 (BIO2):
5.12.01 - "Informatie in alle informatiesystemen is door middel van een expliciete risicoafweging geclassificeerd. Hierbij wordt gebruik gemaakt van een vastgestelde impactclassificatiemethodiek die onderdeel is van de vastgestelde risicomanagementmethodiek."</t>
  </si>
  <si>
    <t>Relaties met andere BIO2 producten:</t>
  </si>
  <si>
    <t>•   Baseline Informatiebeveiliging Overheid versie 2 (BIO2) 
•   Informatiebeveiligingsbeleid van de gemeente
•   Kans en schade tabellen
•   Handreiking risicomanagement voor gemeenten
•   Privacy Data Protection Impact Assessment
•   Diepgaande risicoanalyse methode gemeenten</t>
  </si>
  <si>
    <t>1.2 Niveaus</t>
  </si>
  <si>
    <t>De classificatietoets BIO2 is een momentopname van de huidige situatie. Wat er mogelijk in de toekomst gaat veranderen wordt dan ook niet meegenomen in de huidige analyse. Mocht in de toekomst de situatie veranderen dan dient de classificatietoets BIO2 opnieuw tegen het licht gehouden worden. Bijvoorbeeld:</t>
  </si>
  <si>
    <t>•   Als er in de toekomstige situatie nieuwe wet- of regelgeving in werking treedt.
•   Als in de toekomstige situatie meer (keten)partners worden aangesloten.
•   Als er voor dezelfde doelen in de toekomstige situatie meer (persoons)gegevens worden verzameld.
•   Bij grote proces en/of systeemwijzigingen.
•   Om periodiek (jaarlijks) te herijken of de "oude" uitgangspunten nog dezelfde zijn.</t>
  </si>
  <si>
    <t>Er zijn 5 niveaus per betrouwbaarheidsaspect gedefinieerd. Dit is een bewuste keuze om de classificatiemethode te laten aansluiten bij de risicomanagement methodiek en de kans en impact tabellen zoals deze nu voor de BIO2 gelden en op de IBD website staan. 
Een proces kan informatie verwerken die verder geen bijzondere classificatie eisen heeft. Daarom zijn ook de classificatieniveaus anders omschreven om dat duidelijk te maken. Het classificatieniveau wordt uitgedrukt in niveaus voor beschikbaarheid, integriteit en vertrouwelijkheid van informatie:</t>
  </si>
  <si>
    <t xml:space="preserve">Beschikbaarheid </t>
  </si>
  <si>
    <t xml:space="preserve">Integriteit </t>
  </si>
  <si>
    <t xml:space="preserve">Vertrouwelijkheid </t>
  </si>
  <si>
    <t>Uitgevoerde BIO2 classificatietoetsen, risicoanalyses en/of DPIA’s maken onderdeel uit van het systeemdossier en moeten worden bewaard zo lang als het informatiesysteem in gebruik is. Dit is nodig omdat zowel de Cbw als de Algemene Verordening Gegevensbescherming (AVG) praten over "passende maatregelen" dat moet dus ook achteraf aantoonbaar zijn.</t>
  </si>
  <si>
    <t>1.3     Belang informatie</t>
  </si>
  <si>
    <t xml:space="preserve">Het bepalen van het belang van de informatie gebeurt door na te gaan hoe groot de impact is die kan ontstaan als het betreffende betrouwbaarheidsaspect (beschikbaarheid, integriteit of vertrouwelijkheid) van de informatie niet in orde is en leidt tot impact op het proces. Het toekennen van waarden (per betrouwbaarheidsaspect) is specifiek voor de dienst en/of het betreffende verantwoordelijkheidsgebied. </t>
  </si>
  <si>
    <t>Invalshoeken om tot een waardebepaling te komen zijn bijvoorbeeld:</t>
  </si>
  <si>
    <t>•   Persoonlijke veiligheid</t>
  </si>
  <si>
    <t>Bijvoorbeeld: Wordt de veiligheid van personen bedreigd als gegevens niet beschikbaar zijn, een systeem uitvalt, of als er verkeerde informatie wordt verstrekt? Zo ja, hoe ernstig zijn de gevolgen?</t>
  </si>
  <si>
    <t>•   Persoonsgegevens</t>
  </si>
  <si>
    <t>Bijvoorbeeld: Wordt de persoonlijke levenssfeer van een persoon of een groep personen aangetast, of wordt er inbreuk gemaakt op een wet- of regelgeving als gegevens over personen in handen vallen van ongeautoriseerde personen? Zijn die gegevens versleuteld of niet? Hoe ernstig is de mate van ongemak voor een persoon of een groep personen? Wordt er gebruik gemaakt van bijzondere persoonsgegevens?</t>
  </si>
  <si>
    <t>•   Wettelijke en reglementaire verplichtingen</t>
  </si>
  <si>
    <t>Bijvoorbeeld: Kan er strafrechtelijk vervolgd worden of worden er civiele procedures aangespannen resulterend in, het moeten betalen van boetes of schadevergoedingen als niet voldaan wordt aan wettelijke of reglementaire verplichtingen, doordat informatie of een systeem niet beschikbaar is? Hoe hoog zijn de boetes of schadevergoedingen?</t>
  </si>
  <si>
    <t>•   Rechtshandhaving</t>
  </si>
  <si>
    <t>Bijvoorbeeld: Worden overtredingen of misdaden makkelijker als er een systeem uitvalt of als er door een systeem onjuiste of verouderde informatie wordt verstrekt? Hoe ernstig zijn deze consequenties?</t>
  </si>
  <si>
    <t>•   Economische belangen</t>
  </si>
  <si>
    <t>Bijvoorbeeld: Worden commerciële of economische belangen van de dienst, de [ organisatie ] of van derden geschaad als vertrouwelijke informatie bij ongeautoriseerde personen terecht komt? Hoe groot is de schade die kan ontstaan?</t>
  </si>
  <si>
    <t>•   Financieel verlies/ verstoring van activiteiten</t>
  </si>
  <si>
    <t>Bijvoorbeeld: Lijdt de [organisatie] directe of indirecte financiële schade als informatie niet beschikbaar is, of als er een systeem uitvalt? Hoe groot bedraagt de schade?</t>
  </si>
  <si>
    <t>•   Openbare orde</t>
  </si>
  <si>
    <t>Bijvoorbeeld: Veroorzaakt het niet goed functioneren van een systeem protesten, demonstraties of acties? Gaat het om groepen burgers of enkele? Blijft dit beperkt tot lokaal protest, of komt de openbare orde door demonstraties in gevaar?</t>
  </si>
  <si>
    <t>•   Beleid en werking van de openbare dienstverlening</t>
  </si>
  <si>
    <t>Bijvoorbeeld: Wordt de openbare dienstverlening belemmerd als een systeem uitvalt? Hoe ernstig is dit? Bijvoorbeeld, de balies kunnen niet werken door systeemuitval of de [organisatie] kan niet openen door systeemstoringen. Kan dit weer leiden tot verstoring van de openbare orde?</t>
  </si>
  <si>
    <t>•   Imagoschade</t>
  </si>
  <si>
    <t>Bijvoorbeeld: Kan het uitvallen van systemen of in de openbaarheid komen van informatie, leiden tot negatieve publiciteit waardoor de betrekkingen met het publiek of andere organisaties schade lijden? Hoe ernstig is dit voor de [organisatie]?</t>
  </si>
  <si>
    <t>•   Politieke schade</t>
  </si>
  <si>
    <t xml:space="preserve">Alle voorgaande invalshoeken kunnen uiteindelijk tot gevolg hebben dat Kamervragen gesteld worden met verstrekkende gevolgen. Dit kan door een hoge boete, bijvoorbeeld voor het lekken van persoonsgegevens. </t>
  </si>
  <si>
    <t>De volgende principes zijn het uitgangspunt voor (informatie) classificatie:</t>
  </si>
  <si>
    <t>•   De classificatietabel heeft betrekking op alle in beheer zijnde gegevensverzamelingen, gegevensdragers, informatiesystemen, servers en netwerkcomponenten.</t>
  </si>
  <si>
    <t xml:space="preserve">•   Bedenk bij classificeren ook wie belang zou kunnen hebben bij de informatie, dit bepaalt ook welke middelen ingezet kunnen worden om de bescherming te doorbreken. </t>
  </si>
  <si>
    <t>•   De informatie-eigenaar (veelal ook de proceseigenaar) bepaalt het vereiste beschermingsniveau (classificatie) (gemeentelijk door middel van deze toets). Indien sprake is van wettelijke eisen wordt dit expliciet aangegeven. De informatie-eigenaar bepaalt tevens op basis van de classificatie wie toegang krijgt tot welke gegevens, kan hiervoor advies vragen van de CISO en legt het besluit en de toegangsregels vast.</t>
  </si>
  <si>
    <t>•   Er wordt gestreefd naar een zo ‘laag’ mogelijk classificatieniveau; te hoge classificatie leidt namelijk tot onnodige kosten. Bovendien dient informatie in beginsel voor zoveel mogelijk mensen beschikbaar zijn in het kader van een transparante overheid.</t>
  </si>
  <si>
    <r>
      <t xml:space="preserve">•   Het object van classificatie is informatie. De classificatie die door het soort informatie bepaald wordt geldt ook voor het hogere niveau van informatiesystemen (of informatieservices), dat wil zeggen dat als een systeem geheime informatie verwerkt het hele systeem als geheim wordt aangemerkt tenzij voor dat hogere niveau al maatregelen genomen zijn binnen het informatiesysteem. Alle classificaties van alle bedrijfskritische systemen die kritische processen ondersteunen die essentiele diensten leveren zijn centraal vastgelegd door de eigenaren </t>
    </r>
    <r>
      <rPr>
        <b/>
        <sz val="10"/>
        <color theme="1"/>
        <rFont val="Calibri"/>
        <family val="2"/>
        <scheme val="minor"/>
      </rPr>
      <t>en dienen jaarlijks door de informatieeigenaren gecontroleerd te worden.</t>
    </r>
  </si>
  <si>
    <t xml:space="preserve">In alle gevallen kan de eigenaar van de gegevens zich voor het classificeren laten ondersteunen door beveiligingsspecialisten, zoals de CISO. </t>
  </si>
  <si>
    <t>1.4 Invulinstructie:</t>
  </si>
  <si>
    <r>
      <t xml:space="preserve">In deze classificatietoets BIO2 zitten verschillende tabbladen, welke allemaal ingevuld moeten worden. De tabbladen moeten worden doorlopen in de juiste volgorde. Voeg geen regels toe en ga ook niet knippen en plakken, het risico bestaat dan dat de gebruikt formules niet meer werken. Vul altijd in ieder tabblad en bij iedere vraag de argumentatie in, zo kan iemand anders die deze toets wil herhalen zien waarom een bepaalde keuze in het verleden gemaakt is. Bedenk ook dat de resultaten van deze classificatietoets en de toets zelf deel gaan uitmaken van het systeemdossier, keuzes die gemaakt worden zijn belangrijk of achteraf te kunnen uitleggen.  </t>
    </r>
    <r>
      <rPr>
        <b/>
        <sz val="10"/>
        <color theme="1"/>
        <rFont val="Calibri"/>
        <family val="2"/>
        <scheme val="minor"/>
      </rPr>
      <t>VUL ALLEEN DE GELE CELLEN/VELDEN IN.</t>
    </r>
  </si>
  <si>
    <r>
      <rPr>
        <b/>
        <sz val="10"/>
        <color theme="1"/>
        <rFont val="Calibri"/>
        <family val="2"/>
        <scheme val="minor"/>
      </rPr>
      <t>Tabblad Algemene Vragen</t>
    </r>
    <r>
      <rPr>
        <sz val="10"/>
        <color theme="1"/>
        <rFont val="Calibri"/>
        <family val="2"/>
        <scheme val="minor"/>
      </rPr>
      <t>: vul hier alle informatie in die bekend is, het gaat om informatie die van belang is voor begripsvorming over de onderzochte gegevens, het proces dat bekeken is, de eigenaarschap en dergelijke. Als iets niet bekend is, vul dat dan in waarom dat zo is. Let op, de eigenaar van de informatie moet bekend zijn, dit is noodzakelijk omdat de eigenaar verantwoordelijk is voor het bepalen/ vaststellen van de classificatie en vervolgens ook verantwoordelijk is voor de te nemen beveiligingsmaatregelen.</t>
    </r>
  </si>
  <si>
    <r>
      <rPr>
        <b/>
        <sz val="10"/>
        <color theme="1"/>
        <rFont val="Calibri"/>
        <family val="2"/>
        <scheme val="minor"/>
      </rPr>
      <t>Tabblad Beschikbaarheid:</t>
    </r>
    <r>
      <rPr>
        <sz val="10"/>
        <color theme="1"/>
        <rFont val="Calibri"/>
        <family val="2"/>
        <scheme val="minor"/>
      </rPr>
      <t xml:space="preserve"> hier gaat het om vragen die gerelateerd zijn aan de beschikbaarheid van informatie, het belang van beschikbaar hebben van informatie voor het proces waar de informatie gebruikt wordt. Onderaan de tabel staat een waarderingstabel die gerelateerd is aan het betreffende betrouwbaarheidsaspect.</t>
    </r>
  </si>
  <si>
    <r>
      <rPr>
        <b/>
        <sz val="10"/>
        <color theme="1"/>
        <rFont val="Calibri"/>
        <family val="2"/>
        <scheme val="minor"/>
      </rPr>
      <t>Tabblad Integriteit:</t>
    </r>
    <r>
      <rPr>
        <sz val="10"/>
        <color theme="1"/>
        <rFont val="Calibri"/>
        <family val="2"/>
        <scheme val="minor"/>
      </rPr>
      <t xml:space="preserve"> hier gaat het om vragen die gerelateerd zijn aan de integriteit van informatie, het belang van integere informatie voor het proces waar de informatie gebruikt wordt. Onderaan de tabel staat een waarderingstabel die gerelateerd is aan het betreffende betrouwbaarheidsaspect.</t>
    </r>
  </si>
  <si>
    <r>
      <rPr>
        <b/>
        <sz val="10"/>
        <color theme="1"/>
        <rFont val="Calibri"/>
        <family val="2"/>
        <scheme val="minor"/>
      </rPr>
      <t>Tabblad Vertrouwelijkheid:</t>
    </r>
    <r>
      <rPr>
        <sz val="10"/>
        <color theme="1"/>
        <rFont val="Calibri"/>
        <family val="2"/>
        <scheme val="minor"/>
      </rPr>
      <t xml:space="preserve"> hier gaat het om vragen die gerelateerd zijn aan de vertrouwelijkheid van de informatie, hier gaat het om toegang tot de informatie en het belang ervan voor het proces waar de informatie gebruikt wordt. Onderaan de tabel staat een waarderingstabel die gerelateerd is aan het betreffende betrouwbaarheidsaspect.</t>
    </r>
  </si>
  <si>
    <r>
      <rPr>
        <b/>
        <sz val="10"/>
        <color theme="1"/>
        <rFont val="Calibri"/>
        <family val="2"/>
        <scheme val="minor"/>
      </rPr>
      <t xml:space="preserve">Tabblad Resultaat: </t>
    </r>
    <r>
      <rPr>
        <sz val="10"/>
        <color theme="1"/>
        <rFont val="Calibri"/>
        <family val="2"/>
        <scheme val="minor"/>
      </rPr>
      <t>Op het tabblad resultaat worden alle waarden van de voorgaan de tabbladen samengevoegd tot een resultaat dat gebruikt kan worden om de eigenaar van de informatie de classificatie te laten vaststellen.</t>
    </r>
  </si>
  <si>
    <t>Tenslotte:</t>
  </si>
  <si>
    <t xml:space="preserve">Classificeren is geen exacte wetenschap. Bepaling van het classificatieniveau volgt uit een risicobeoordeling waarin de 'waarde' van informatie wordt bepaald. Aangezien 'waarde' lang niet altijd meetbaar is, is toekenning van een classificatieniveau soms arbitrair. In die gevallen kan een afweging gemaakt worden tussen de waarde en het risico van verlies van informatie. Het classificatieniveau en de daarbij behorende beveiligingseisen en maatregelen moet altijd 'passen' bij het te beschermen belang. </t>
  </si>
  <si>
    <t>2.0 Versie beheer</t>
  </si>
  <si>
    <r>
      <rPr>
        <b/>
        <sz val="11"/>
        <color theme="1"/>
        <rFont val="Calibri"/>
        <family val="2"/>
        <scheme val="minor"/>
      </rPr>
      <t xml:space="preserve">Versienummer </t>
    </r>
    <r>
      <rPr>
        <sz val="11"/>
        <color theme="1"/>
        <rFont val="Calibri"/>
        <family val="2"/>
        <scheme val="minor"/>
      </rPr>
      <t xml:space="preserve">
2.01
</t>
    </r>
    <r>
      <rPr>
        <b/>
        <sz val="11"/>
        <color theme="1"/>
        <rFont val="Calibri"/>
        <family val="2"/>
        <scheme val="minor"/>
      </rPr>
      <t xml:space="preserve">Versiedatum </t>
    </r>
    <r>
      <rPr>
        <sz val="11"/>
        <color theme="1"/>
        <rFont val="Calibri"/>
        <family val="2"/>
        <scheme val="minor"/>
      </rPr>
      <t xml:space="preserve">
December 2025
Aangepast naar BIO2, in lijn gebracht met de kans en schade tabellen voor de BIO2 aanpak van gemeenten zodat de niveaus nu weer gelijk lopen, niveaus hernoemd en teksten aangescherpt bij de B, I en V antwoorden.</t>
    </r>
  </si>
  <si>
    <r>
      <rPr>
        <b/>
        <sz val="11"/>
        <color theme="1"/>
        <rFont val="Calibri"/>
        <family val="2"/>
        <scheme val="minor"/>
      </rPr>
      <t xml:space="preserve">Versiebeheer </t>
    </r>
    <r>
      <rPr>
        <sz val="11"/>
        <color theme="1"/>
        <rFont val="Calibri"/>
        <family val="2"/>
        <scheme val="minor"/>
      </rPr>
      <t xml:space="preserve">
Het beheer van dit document berust bij de Informatiebeveiligingsdienst voor gemeenten (IBD).
Vereniging van Nederlandse Gemeenten / </t>
    </r>
    <r>
      <rPr>
        <b/>
        <sz val="11"/>
        <color theme="1"/>
        <rFont val="Calibri"/>
        <family val="2"/>
        <scheme val="minor"/>
      </rPr>
      <t xml:space="preserve">Informatiebeveiligingsdienst voor gemeenten (IBD) 
</t>
    </r>
    <r>
      <rPr>
        <sz val="11"/>
        <color theme="1"/>
        <rFont val="Calibri"/>
        <family val="2"/>
        <scheme val="minor"/>
      </rPr>
      <t xml:space="preserve">
</t>
    </r>
    <r>
      <rPr>
        <i/>
        <sz val="11"/>
        <color theme="1"/>
        <rFont val="Calibri"/>
        <family val="2"/>
        <scheme val="minor"/>
      </rPr>
      <t>Tenzij anders vermeld, is dit werk verstrekt onder een Creative Commons Naamsvermelding-Niet Commercieel-Gelijk Delen 4.0 Internationaal licentie. Dit houdt in dat het materiaal gebruikt en gedeeld mag worden onder de volgende voorwaarden: Alle rechten voorbehouden. Verveelvoudiging, verspreiding en gebruik van deze uitgave voor het doel zoals vermeld in deze uitgave is met bronvermelding toegestaan voor alle gemeenten en overheidsorganisaties. 
Voor commerciële organisaties wordt hierbij toestemming verleend om dit document te bekijken, af te drukken, te verspreiden en te gebruiken onder de hiernavolgende voorwaarden:
De IBD wordt als bron vermeld.
Het document en de inhoud mogen commercieel niet geëxploiteerd worden.
Publicaties of informatie waarvan de intellectuele eigendomsrechten niet bij de verstrekker berusten, blijven onderworpen aan de beperkingen opgelegd door de IBD en / of de Vereniging van Nederlandse Gemeenten.
Iedere kopie van dit document, of een gedeelte daarvan, dient te zijn voorzien van de in deze paragraaf vermelde mededeling.
Wanneer dit werk wordt gebruikt, hanteer dan de volgende methode van naamsvermelding: “Vereniging van Nederlandse Gemeenten / Informatiebeveiligingsdienst voor gemeenten”, licentie onder: CC BY-NC-SA 4.0.
Bezoek http://creativecommons.org/licenses/by-nc-sa/4.0 voor meer informatie over de licentie.</t>
    </r>
  </si>
  <si>
    <r>
      <rPr>
        <b/>
        <sz val="11"/>
        <color theme="1"/>
        <rFont val="Calibri"/>
        <family val="2"/>
        <scheme val="minor"/>
      </rPr>
      <t>Rechten en vrijwaring</t>
    </r>
    <r>
      <rPr>
        <sz val="11"/>
        <color theme="1"/>
        <rFont val="Calibri"/>
        <family val="2"/>
        <scheme val="minor"/>
      </rPr>
      <t xml:space="preserve">
De IBD is zich bewust van haar verantwoordelijkheid een zo betrouwbaar mogelijke uitgave te verzorgen. Niettemin kan de IBD geen aansprakelijkheid aanvaarden voor eventueel in deze uitgave voorkomende onjuistheden, onvolledigheden of nalatigheden. De IBD aanvaardt ook geen aansprakelijkheid voor enig gebruik van voorliggende uitgave of schade ontstaan door de inhoud van de uitgave of door de toepassing ervan. </t>
    </r>
  </si>
  <si>
    <r>
      <rPr>
        <b/>
        <sz val="11"/>
        <color theme="1"/>
        <rFont val="Calibri"/>
        <family val="2"/>
        <scheme val="minor"/>
      </rPr>
      <t>Met dank aan</t>
    </r>
    <r>
      <rPr>
        <sz val="11"/>
        <color theme="1"/>
        <rFont val="Calibri"/>
        <family val="2"/>
        <scheme val="minor"/>
      </rPr>
      <t xml:space="preserve">
De gemeenten en samenwerkingsverbanden die hebben bijgedragen aan de totstandkoming van dit document. </t>
    </r>
  </si>
  <si>
    <r>
      <rPr>
        <b/>
        <sz val="11"/>
        <color theme="1"/>
        <rFont val="Calibri"/>
        <family val="2"/>
        <scheme val="minor"/>
      </rPr>
      <t xml:space="preserve">Over de IBD </t>
    </r>
    <r>
      <rPr>
        <sz val="11"/>
        <color theme="1"/>
        <rFont val="Calibri"/>
        <family val="2"/>
        <scheme val="minor"/>
      </rPr>
      <t xml:space="preserve">
De IBD is een gezamenlijk initiatief van alle Nederlandse Gemeenten. De IBD is de sectorale CERT / CSIRT voor alle Nederlandse gemeenten en richt zich op (incident)ondersteuning op het gebied van informatiebeveiliging. De IBD is voor gemeenten het schakelpunt met het Nationaal Cyber Security Centrum (NCSC). De IBD ondersteunt gemeenten bij hun inspanningen op het gebied van informatiebeveiliging en privacy / gegevensbescherming en geeft regelmatig kennisproducten uit. Daarnaast faciliteert de IBD kennisdeling tussen gemeenten onderling, met andere overheidslagen, met vitale sectoren en met leveranciers. Alle Nederlandse gemeenten kunnen gebruikmaken van de producten en de generieke dienstverlening van de IBD.
De IBD is ondergebracht bij VNG Realisatie.</t>
    </r>
  </si>
  <si>
    <t xml:space="preserve">)* ABDO of ABRO staat voor algemene beveiligingeisen Defensie Opdrachten en Algemene Beveiligingseisen Rijks Overheid, deze normen bevatten verplichte maatregelen die horen bij een bepaalde classificaties. De ABDO (dus specifiek defensie) bestaat al langer en het ABRO is later ontwikkeld. Hoewel niet specifiek voor gemeenten geschreven zijn de aanvullende beveiligingsmaatregelen voor gemeenten zeker goed om naar te kijken. Het kan ook goed voorkomen dat een gemeente informatie ontvangt van het rijk met een classificatielabel en dan moet je als ontvannger dezelfde bescherming garanderen als die waar het rijk aan moet voldoen. </t>
  </si>
  <si>
    <t>Algemene vragen over de informatie</t>
  </si>
  <si>
    <t>0.</t>
  </si>
  <si>
    <t>Algemeen</t>
  </si>
  <si>
    <t>Let op, alleen de gele velden invullen!</t>
  </si>
  <si>
    <t>Organisatie:</t>
  </si>
  <si>
    <t>&lt;organisatienaam&gt;</t>
  </si>
  <si>
    <t>Afdeling:</t>
  </si>
  <si>
    <t>&lt;afdeling/ bureau/ et cetera&gt;</t>
  </si>
  <si>
    <t>Opsteller:</t>
  </si>
  <si>
    <t>&lt;opsteller baselinetoets&gt;</t>
  </si>
  <si>
    <t>Versienummer:</t>
  </si>
  <si>
    <t>&lt;versienummer&gt;</t>
  </si>
  <si>
    <t>Datum:</t>
  </si>
  <si>
    <t xml:space="preserve">&lt;datum uitvoering informatie classificatie&gt; </t>
  </si>
  <si>
    <t>1.</t>
  </si>
  <si>
    <t>Management samenvatting</t>
  </si>
  <si>
    <t xml:space="preserve">2. </t>
  </si>
  <si>
    <t>Inleiding</t>
  </si>
  <si>
    <r>
      <t>&lt;</t>
    </r>
    <r>
      <rPr>
        <i/>
        <sz val="9"/>
        <color theme="1"/>
        <rFont val="Verdana"/>
        <family val="2"/>
      </rPr>
      <t>In te vullen door de invuller, waarom wordt deze informatie classificatie BIO uitgevoerd, door wie, wie is benaderd et cetera.</t>
    </r>
    <r>
      <rPr>
        <sz val="9"/>
        <color theme="1"/>
        <rFont val="Verdana"/>
        <family val="2"/>
      </rPr>
      <t>&gt;</t>
    </r>
  </si>
  <si>
    <t xml:space="preserve">2.1 </t>
  </si>
  <si>
    <t>Project</t>
  </si>
  <si>
    <r>
      <t>&lt;</t>
    </r>
    <r>
      <rPr>
        <i/>
        <sz val="9"/>
        <color theme="1"/>
        <rFont val="Verdana"/>
        <family val="2"/>
      </rPr>
      <t>Korte samenvatting van het project; verwijzen naar een Programma Start Architectuur (PSA) en/ of projectvoorstel, niet langer dan 1A4.</t>
    </r>
    <r>
      <rPr>
        <sz val="9"/>
        <color theme="1"/>
        <rFont val="Verdana"/>
        <family val="2"/>
      </rPr>
      <t>&gt;</t>
    </r>
  </si>
  <si>
    <t xml:space="preserve">3. </t>
  </si>
  <si>
    <t>Vragenlijst informatie</t>
  </si>
  <si>
    <t>3.1.</t>
  </si>
  <si>
    <t>Naam en functie geïnterviewde</t>
  </si>
  <si>
    <t>&lt;Interview met bedrijfsproces (business), informatie eigenaar en bij een groepssessie, meerdere namen benoemen en hun rol.&gt;</t>
  </si>
  <si>
    <t>3.2</t>
  </si>
  <si>
    <t>Naam en functie proces waar de informatie gebruikt wordt</t>
  </si>
  <si>
    <t>&lt;Om welk proces gaat het, wat is het doel?&gt;</t>
  </si>
  <si>
    <t>3.3</t>
  </si>
  <si>
    <t>Geef een bondige beschrijving van het proces/ processen en de informatie en benoem de proces (informatie) eigenaar.</t>
  </si>
  <si>
    <t>&lt;Alle hoofdprocessen benoemen&gt;
&lt;Let op: bij meerdere proceseigenaren, alle betrokken proceseigenaren interviewen&gt;
&lt;Let op: Geef ook aan of het proces of de subprocessen 24/7 dienstverlening betreft of dat er in bepaalde perioden hoge beschikbaarheid nodig is (jaar, maand et cetera)&gt;</t>
  </si>
  <si>
    <t>3.4</t>
  </si>
  <si>
    <t xml:space="preserve">Maakt het proces/ de processen deel uit van een keten/ meerdere ketens, of zijn anderen afhankelijk van de informatie? Zo ja beschrijf de keten/ ketens </t>
  </si>
  <si>
    <r>
      <rPr>
        <b/>
        <sz val="11"/>
        <color theme="1"/>
        <rFont val="Calibri"/>
        <family val="2"/>
        <scheme val="minor"/>
      </rPr>
      <t>Wat is (zijn) de keten(s):</t>
    </r>
    <r>
      <rPr>
        <sz val="11"/>
        <color theme="1"/>
        <rFont val="Calibri"/>
        <family val="2"/>
        <scheme val="minor"/>
      </rPr>
      <t xml:space="preserve">
</t>
    </r>
    <r>
      <rPr>
        <b/>
        <sz val="11"/>
        <color theme="1"/>
        <rFont val="Calibri"/>
        <family val="2"/>
        <scheme val="minor"/>
      </rPr>
      <t>Wat is (zijn) de ketenpartner(s):</t>
    </r>
    <r>
      <rPr>
        <sz val="11"/>
        <color theme="1"/>
        <rFont val="Calibri"/>
        <family val="2"/>
        <scheme val="minor"/>
      </rPr>
      <t xml:space="preserve">
</t>
    </r>
  </si>
  <si>
    <t>3.5</t>
  </si>
  <si>
    <t>Welke eventuele subprocessen zijn te onderscheiden? Welke hoofdactiviteiten worden binnen het proces uitgevoerd en wie doen dat?</t>
  </si>
  <si>
    <t>3.6</t>
  </si>
  <si>
    <t>Welke informatie wordt er gebruikt binnen het proces en eventuele subprocessen? Geef ook aan welke soort persoonsgegevens gebruikt worden. Deze gegevens zijn het onderwerp van de dataclassificatie.</t>
  </si>
  <si>
    <r>
      <t xml:space="preserve">&lt;Vermeld hier welke gegevens worden verzameld/verwerkt binnen het proces, probeer zo volledig mogelijk te zijn.&gt;
</t>
    </r>
    <r>
      <rPr>
        <b/>
        <sz val="11"/>
        <color theme="1"/>
        <rFont val="Calibri"/>
        <family val="2"/>
        <scheme val="minor"/>
      </rPr>
      <t>Gegevens:</t>
    </r>
    <r>
      <rPr>
        <sz val="11"/>
        <color theme="1"/>
        <rFont val="Calibri"/>
        <family val="2"/>
        <scheme val="minor"/>
      </rPr>
      <t xml:space="preserve">
• &lt;Bijvoorbeeld financiële gegevens.&gt;
</t>
    </r>
    <r>
      <rPr>
        <b/>
        <sz val="11"/>
        <color theme="1"/>
        <rFont val="Calibri"/>
        <family val="2"/>
        <scheme val="minor"/>
      </rPr>
      <t>Persoonsgegevens:</t>
    </r>
    <r>
      <rPr>
        <sz val="11"/>
        <color theme="1"/>
        <rFont val="Calibri"/>
        <family val="2"/>
        <scheme val="minor"/>
      </rPr>
      <t xml:space="preserve">
• &lt;Bijvoorbeeld naam, adres en woonplaats, telefoonnummers of postcodes met huisnummers.&gt;
</t>
    </r>
    <r>
      <rPr>
        <b/>
        <sz val="11"/>
        <color theme="1"/>
        <rFont val="Calibri"/>
        <family val="2"/>
        <scheme val="minor"/>
      </rPr>
      <t>Bijzondere persoonsgegevens:</t>
    </r>
    <r>
      <rPr>
        <sz val="11"/>
        <color theme="1"/>
        <rFont val="Calibri"/>
        <family val="2"/>
        <scheme val="minor"/>
      </rPr>
      <t xml:space="preserve">
• &lt;Bijvoorbeeld burgerservicenummer (BSN), godsdienst of levensovertuiging, ras, politieke gezindheid, medische gegevens, seksuele leven, lidmaatschap van een vakvereniging, strafrechtelijke/ justitiële persoonsgegevens.&gt;
</t>
    </r>
  </si>
  <si>
    <t>3.7</t>
  </si>
  <si>
    <t>Beschrijf welke informatie afnemers het proces heeft. Welke informatie nemen zij af en welke kwaliteitseisen stellen zij aan deze informatie?</t>
  </si>
  <si>
    <t>3.8</t>
  </si>
  <si>
    <t>Beschrijf welke informatie leveranciers het proces heeft. Welke informatie  leveren zij aan en welke eisen stellen zij aan de informatie die in het proces gebruikt wordt?</t>
  </si>
  <si>
    <t>3.9</t>
  </si>
  <si>
    <t>Welke wet- en regelgeving is van toepassing op deze informatie proces en welke specifieke eisen komen hieruit naar voren?</t>
  </si>
  <si>
    <t xml:space="preserve">Op dit informatiesysteem is de onderstaande wet- en regelgeving op het gebied van Informatiebeveiliging en Privacy van toepassing :
&lt;Algemene Verordening Gegevensbescherming (AVG)
Wet Basisregistratie Personen (BRP)
Archiefwet 
SUWI-net
et cetera (aanvullen)&gt;
</t>
  </si>
  <si>
    <t>3.10</t>
  </si>
  <si>
    <t>Door welke informatievoorziening/ systemen wordt de informatie verwerkt?</t>
  </si>
  <si>
    <t>3.11</t>
  </si>
  <si>
    <t>(beoogd) Eigenaar van de informatie</t>
  </si>
  <si>
    <t>&lt;Let op: eigenaar moet in deze fase bekend zijn, of benoemd worden.&gt;</t>
  </si>
  <si>
    <t>Blok beschikbaarheidsvragen voor dataclassificatie van informatie</t>
  </si>
  <si>
    <t>Extra uitleg, wordt niet geprint</t>
  </si>
  <si>
    <t>Gevolgen van het niet beschikbaar hebben van de benodigde informatie of gegevens.</t>
  </si>
  <si>
    <t>Waardering</t>
  </si>
  <si>
    <t>Argumentatie</t>
  </si>
  <si>
    <t>(in het ergste geval)</t>
  </si>
  <si>
    <t>(zie de waardering bij de vraag)</t>
  </si>
  <si>
    <t>(verplicht invullen)</t>
  </si>
  <si>
    <t>Catastrofaal</t>
  </si>
  <si>
    <t>Kritiek/ Zeer ernstig</t>
  </si>
  <si>
    <t>Gemiddeld</t>
  </si>
  <si>
    <t>Gering</t>
  </si>
  <si>
    <t xml:space="preserve">Verwaarloosbaar </t>
  </si>
  <si>
    <t>B1</t>
  </si>
  <si>
    <t>Managementbeslissingen</t>
  </si>
  <si>
    <t>Uren</t>
  </si>
  <si>
    <t>Dag (deel)</t>
  </si>
  <si>
    <t>Week</t>
  </si>
  <si>
    <t>Meer dan een week</t>
  </si>
  <si>
    <t>Meer dan 2 weken</t>
  </si>
  <si>
    <t>Kies per vraag / rij één antwoord van 0 of 1
zie waarderingstabel onderaan met de omschrijvingen.</t>
  </si>
  <si>
    <t>Welke tijdsduur, die het nemen van beslissingen door het ontbreken van informatie, negatief beïnvloedt, is acceptabel.?</t>
  </si>
  <si>
    <t>B2</t>
  </si>
  <si>
    <t>Imagoverlies</t>
  </si>
  <si>
    <t>Hoe lang duurt het voordat er sprake is van imagoverlies wanneer informatie niet voorhanden is?</t>
  </si>
  <si>
    <t xml:space="preserve">Imagoverlies is lastig omdat je als organisatie soms lang tijd hebt voor bepaalde beslissingen. Bedenk ook dat er soms een maximum (wettelijke) termijn is dat sommige informatie niet beschikbaar mag zijn. </t>
  </si>
  <si>
    <t>B3</t>
  </si>
  <si>
    <t>Hapering dienstverlening</t>
  </si>
  <si>
    <t>Hersteltijd max 4 werkuren</t>
  </si>
  <si>
    <t>Hersteltijd max 8 werkuren</t>
  </si>
  <si>
    <t>Hersteltijd max 16 werkuren</t>
  </si>
  <si>
    <t>Hersteltijd max 40 werkuren</t>
  </si>
  <si>
    <t>Hersteltijd meer dan 40 werkuren</t>
  </si>
  <si>
    <r>
      <t>&lt;</t>
    </r>
    <r>
      <rPr>
        <i/>
        <sz val="9"/>
        <color theme="1"/>
        <rFont val="Verdana"/>
        <family val="2"/>
      </rPr>
      <t>Dataverlies (Recovery-Point Objective (RPO)) en hersteltijd (Recovery-Time Objective (RTO)) zijn doelstellingen die een belangrijke rol spelen bij disaster recovery.</t>
    </r>
  </si>
  <si>
    <t>Let wel op, in de hersteltijd zit ook het herstellen van gegevens zodat het proces weer normaal kan plaatsvinden.</t>
  </si>
  <si>
    <t>Hoe lang kan de informatie niet beschikbaar zijn voordat er daadwerkelijk hapering in de dienstverlening aan burgers/bedrijven/ketenpartners ontstaat? Hoe snel moet er worden hersteld?</t>
  </si>
  <si>
    <t>Binnen welke tijdsperiode (RTO) moet de dienstverlening weer hersteld zijn?</t>
  </si>
  <si>
    <t>Deze vraag heeft betrekking op de hersteltijd (RTO).</t>
  </si>
  <si>
    <t>Vraag B7 heeft betrekking op het dataverlies (RPO).&gt;</t>
  </si>
  <si>
    <t>B4</t>
  </si>
  <si>
    <t>Wettelijke aansprakelijkheid</t>
  </si>
  <si>
    <t>Let wel op, je kunt situaties hebben dat de beschikbaarheid / uitval een week mag zijn, behalve op de dag dat de uitkeringen worden berekend en naar de bank gezonden. Geef dat dan aan in de rapportage en bedenk daar later mitigerende maatregelen voor.</t>
  </si>
  <si>
    <t>Hoe lang kan de informatie niet beschikbaar zijn voordat er wettelijke of contractuele verplichtingen niet kunnen worden nagekomen?</t>
  </si>
  <si>
    <t>B5</t>
  </si>
  <si>
    <t>Additionele kosten</t>
  </si>
  <si>
    <t>Bijvoorbeeld: het betalen van uitkeringen mag geen dag te laat zijn. Als dat echt niet mag gebeuren doe daar geen RA voor maar noteer het wel hier en bedenk een proces om daarmee om te gaan.</t>
  </si>
  <si>
    <t>Na welke periode zijn additionele kosten voor de organisatie te verwachten, bij het niet beschikbaar zijn van de informatie?</t>
  </si>
  <si>
    <t>B6</t>
  </si>
  <si>
    <t>Moreel van de medewerkers</t>
  </si>
  <si>
    <t>Bedenk hier ook dat er een wettelijke plicht is om bepaalde systemen tijdig in de lucht te hebben. Bijvoorbeeld Suwi, BRP en PUN.</t>
  </si>
  <si>
    <t>Na welke periode is er sprake van een duidelijk negatieve invloed op het moreel en de motivatie van medewerkers, wanneer de informatie stroom hapert?</t>
  </si>
  <si>
    <t>B7</t>
  </si>
  <si>
    <t>Herstel:</t>
  </si>
  <si>
    <t>Dataverlies minder dan 4 uur</t>
  </si>
  <si>
    <t>Dataverlies tot 8 uur</t>
  </si>
  <si>
    <t>Dataverlies: 8-24 uur</t>
  </si>
  <si>
    <t>Dataverlies meer dan 24 uur</t>
  </si>
  <si>
    <t>Dataverlies meer dan een week</t>
  </si>
  <si>
    <t>Hoe lang mag het herstellen na een onbeschikbaarheid de informatie duren voordat er daadwerkelijk hapering in de dienstverlening aan burgers/ bedrijven/ ketenpartners ontstaat? Zijn er hoge herstelkosten? Dus achteraf verwerken van verloren gegaan werk.</t>
  </si>
  <si>
    <t>Hoeveel dataverlies (RPO) is acceptabel en binnen welke tijdsperiode moet dit hersteld kunnen worden.</t>
  </si>
  <si>
    <t>Deze vraag heeft betrekking op het dataverlies (RPO).&gt;</t>
  </si>
  <si>
    <t>Vraag B3 heeft betrekking op de hersteltijd (RTO).</t>
  </si>
  <si>
    <t>Wat is de meest serieuze impact als de informatie onbeschikbaar is?</t>
  </si>
  <si>
    <t>Beschikbaarheid Resultaat</t>
  </si>
  <si>
    <t>Wat is de beschikbaarheidsclassificatie van de informatie</t>
  </si>
  <si>
    <t>Impact</t>
  </si>
  <si>
    <t>Omschrijving beschikbaarheid</t>
  </si>
  <si>
    <t>Deze classificatie is voor processen en gegevens waarbij geen uitval acceptabel is. Al een dataverlies van enkele uren of een systeemuitval van enkele uren kan leiden tot onherstelbare schade en bestuurlijke crisis. De informatie is onvervangbaar en de processen die ermee samenhangen zijn vitaal voor de samenleving. Continuïteit moet permanent worden gewaarborgd: near real-time beschikbaarheid is noodzakelijk. Uitval raakt direct de kern van de organisatie en kan het vertrouwen van burgers en bestuur onherstelbaar aantasten.</t>
  </si>
  <si>
    <t>Op dit niveau betekent uitval dat de continuïteit van cruciale processen ernstig in gevaar komt. Een dataverlies van 4 tot 8 uur of een systeemuitval van maximaal 8 uur kan strategische processen stilleggen. De informatie is moeilijk te vervangen en het herstel vergt veel tijd, middelen en geld. De gevolgen worden breed gevoeld, zowel in de organisatie als daarbuiten, en kunnen leiden tot forse maatschappelijke ontwrichting en bestuurlijke druk.</t>
  </si>
  <si>
    <t>Wanneer de beschikbaarheid op dit niveau is geclassificeerd, zijn de gevolgen van uitval duidelijk merkbaar. Een dataverlies van 8 - 24 uur of een systeemuitval van maximaal 2 werkdagen heeft aanzienlijke invloed op kernactiviteiten en kan leiden tot klachten of verminderde dienstverlening. Het herstel van de informatie of systemen vergt aanzien redelijke inspanning en brengt extra kosten met zich mee. De maatschappelijke impact wordt zichtbaar, maar met voldoende inzet is herstel nog goed mogelijk.</t>
  </si>
  <si>
    <t>Bij dit niveau is er sprake van enige afhankelijkheid van de informatievoorziening, maar de gevolgen van verstoringen blijven overzichtelijk. Een dataverlies van maximaal 24 uur of een systeemuitval van maximaal 1 week kan leiden tot hinder in processen, maar de dienstverlening blijft grotendeels doorgaan. Herstel vraagt wel enige inspanning en planning, maar is goed uitvoerbaar. Voor burgers is er beperkte merkbare overlast en het vertrouwen in de organisatie blijft in stand.</t>
  </si>
  <si>
    <t>Wanneer gegevens of systemen met deze classificatie tijdelijk uitvallen, is dat vrijwel zonder gevolgen. Een dataverlies van een week of meer of een systeemuitval die oploopt tot meer dan een week kan zonder merkbare schade worden opgevangen. Kernactiviteiten blijven doorgaan, hooguit met lichte vertraging, en de informatie kan eenvoudig worden vervangen of hersteld. Voor burgers of bestuurders is er geen voelbare impact en de continuïteit van de organisatie komt niet in gevaar.</t>
  </si>
  <si>
    <t>Blok integriteitsvragen voor dataclassificatie van informatie</t>
  </si>
  <si>
    <t>Gevolgen van fouten in informatie of doelbewuste manipulatie van informatie om te frauderen of fraude te maskeren</t>
  </si>
  <si>
    <t>I1</t>
  </si>
  <si>
    <t>Zeer zware gevolgen</t>
  </si>
  <si>
    <t>Zware gevolgen</t>
  </si>
  <si>
    <t>Gemiddelde gevolgen</t>
  </si>
  <si>
    <t>Beperkte gevolgen</t>
  </si>
  <si>
    <t>Verwaarloosbaar/ Geen gevolgen</t>
  </si>
  <si>
    <t>Kan onjuiste informatie leiden tot onjuiste beslissingen? Wat zijn de gevolgen?</t>
  </si>
  <si>
    <t>I2</t>
  </si>
  <si>
    <t>Fraude potentie</t>
  </si>
  <si>
    <t>Zeer zware schade</t>
  </si>
  <si>
    <t>Zware schade</t>
  </si>
  <si>
    <t>Gemiddelde schade</t>
  </si>
  <si>
    <t>Beperkte schade</t>
  </si>
  <si>
    <t>Verwaarloosbaar/ Geen schade</t>
  </si>
  <si>
    <t>Zijn er frauderisico’s met deze informatie, en welke gevolgen hebben deze?</t>
  </si>
  <si>
    <t>I3</t>
  </si>
  <si>
    <t>Onderbreking van strategische processen</t>
  </si>
  <si>
    <t>Zeer hoog</t>
  </si>
  <si>
    <t>Hoog</t>
  </si>
  <si>
    <t>Beperkt</t>
  </si>
  <si>
    <t>Verwaarloosbaar</t>
  </si>
  <si>
    <t>In hoeverre kunnen de kernprocessen van de organisatie onderbroken worden als gevolg van ongeautoriseerde wijzigingen van, of fouten in informatie?</t>
  </si>
  <si>
    <t>I4</t>
  </si>
  <si>
    <t>Vertrouwen van het publiek c.q. klanten</t>
  </si>
  <si>
    <t>Zeer zwaar</t>
  </si>
  <si>
    <t>Zwaar</t>
  </si>
  <si>
    <t>Kan het vertrouwen van het publiek geschaad worden door onjuiste informatie?</t>
  </si>
  <si>
    <t>I5</t>
  </si>
  <si>
    <t>Wat kunnen de gevolgen zijn van het niet voldoen aan wettelijke of contractuele verplichtingen die veroorzaakt worden door onjuiste informatie?</t>
  </si>
  <si>
    <t>I6</t>
  </si>
  <si>
    <t>Zeer hoge kosten</t>
  </si>
  <si>
    <t>Hoge kosten</t>
  </si>
  <si>
    <t>Gemiddelde kosten</t>
  </si>
  <si>
    <t>Lage kosten</t>
  </si>
  <si>
    <t>In hoeverre kunnen er additionele kosten ontstaan door het toepassen van onjuiste informatie? Bijvoorbeeld door het moeten herstellen van een corrupte database of opnieuw invoeren van gegevens.</t>
  </si>
  <si>
    <t>I7</t>
  </si>
  <si>
    <t>Wat zijn de schadelijke effecten op het moreel van medewerkers als u onjuiste informatie gebruikt?</t>
  </si>
  <si>
    <t>Maximale Waarde</t>
  </si>
  <si>
    <t>Classificatie resultaat</t>
  </si>
  <si>
    <t>Wat is de classificatie van de integriteit van de informatie, passend bij de kans en impact tabel?</t>
  </si>
  <si>
    <t>Omschrijving integriteit</t>
  </si>
  <si>
    <t>Fouten of manipulaties leiden tot zeer zware gevolgen. Verkeerde of misleidende informatie veroorzaakt structurele fouten in management- en beleidsbeslissingen. Grootschalige fraude wordt mogelijk en strategische processen worden langdurig onderbroken of zelfs volledig lamgelegd. Het vertrouwen van burgers, partners en medewerkers gaat blijvend verloren. De organisatie wordt geconfronteerd met zware juridische aansprakelijkheid en extreme herstelkosten. Het moreel van medewerkers wordt ernstig geschaad, waardoor motivatie en loyaliteit verdwijnen. Herstel is nauwelijks nog mogelijk en de schade is grotendeels onomkeerbaar.</t>
  </si>
  <si>
    <t>Fouten of manipulaties veroorzaken grote gevolgen. Beslissingen van management of bestuur worden sterk beïnvloed door verkeerde informatie, waardoor de koers van de organisatie ernstig kan ontsporen. Fraude is aannemelijk en kan omvangrijk zijn. Kernprocessen komen grotendeels stil te liggen en het vertrouwen van burgers en ketenpartners krijgt forse en blijvende schade. Juridische claims zijn waarschijnlijk en de bijkomende kosten lopen hoog op. Het moreel van medewerkers komt zwaar onder druk te staan. Herstel is zeer moeilijk en vergt langdurige inspanningen.</t>
  </si>
  <si>
    <t>Fouten of manipulaties hebben merkbare gevolgen. Managementbeslissingen kunnen duidelijk worden beïnvloed door onjuiste informatie, wat kan leiden tot verkeerd beleid of onjuiste keuzes. Het risico op fraude is significant en kernprocessen kunnen aanzienlijke vertraging oplopen. Burgers en ketenpartners verliezen merkbaar vertrouwen in de dienstverlening. Er zijn reële juridische risico’s en de extra kosten om te herstellen zijn aanzienlijk. Medewerkers ervaren een daling in motivatie doordat fouten en herstelwerk druk veroorzaken. Herstel is mogelijk, maar kostbaar en tijdsintensief.</t>
  </si>
  <si>
    <t>Fouten of manipulaties hebben beperkte gevolgen. Beslissingen kunnen incidenteel worden beïnvloed, maar niet op een manier die de organisatie langdurig schaadt. Het risico op fraude is aanwezig, maar beperkt in omvang. Processen ondervinden hooguit kortdurende hinder en het vertrouwen van burgers of ketenpartners wordt slechts licht geraakt. Juridische of financiële gevolgen zijn minimaal en eenvoudig op te vangen. Medewerkers merken weinig en herstel is relatief eenvoudig en snel uit te voeren.</t>
  </si>
  <si>
    <t>Fouten of manipulaties in de informatie hebben geen merkbare gevolgen. Managementbeslissingen blijven correct, omdat de betrouwbaarheid van de gegevens niet wordt aangetast. Het risico op fraude is verwaarloosbaar en de processen blijven ongestoord functioneren. Het vertrouwen van burgers, ketenpartners en medewerkers blijft intact. Er zijn geen juridische consequenties of extra kosten te verwachten en het moreel van de medewerkers ondervindt geen enkele negatieve invloed.</t>
  </si>
  <si>
    <t xml:space="preserve">Opmerking: </t>
  </si>
  <si>
    <t>In deze (data)classificatiemethode worden integriteit en authenticiteit gezamenlijk beoordeeld, omdat verlies van authenticiteit zich in de praktijk manifesteert als foutieve of misleidende informatie en dus dezelfde impactdimensies kent.</t>
  </si>
  <si>
    <t>Blok vertrouwelijkheidsvragen voor dataclassificatie van informatie</t>
  </si>
  <si>
    <t>Gevolgen van onbedoelde of ongeautoriseerde verspreiding van gegevens of informatie</t>
  </si>
  <si>
    <t>Geheim / Zeer Geheim</t>
  </si>
  <si>
    <t>Confidentieel</t>
  </si>
  <si>
    <t>Vertrouwelijk</t>
  </si>
  <si>
    <t>Intern</t>
  </si>
  <si>
    <t>Openbaar</t>
  </si>
  <si>
    <t>V1</t>
  </si>
  <si>
    <t>Vertrouwen van de burger</t>
  </si>
  <si>
    <t>catastrofale gevolgen</t>
  </si>
  <si>
    <t>Zeer ernstige gevolgen</t>
  </si>
  <si>
    <t>Ernstige gevolgen</t>
  </si>
  <si>
    <t>Acceptabel</t>
  </si>
  <si>
    <t>Geen gevolgen</t>
  </si>
  <si>
    <t>Wat zijn de gevolgen voor de organisatie indien de binnen het proces beschikbare informatie te vroeg c.q. niet volgens de regels verspreid wordt?</t>
  </si>
  <si>
    <t>Het vertrouwen van de burger in de organisatie wordt geschaad als informatie wordt gelekt (onbedoeld en bedoeld), maar hoe erg is dat en wat zijn de (politieke) gevolgen?</t>
  </si>
  <si>
    <t>V2</t>
  </si>
  <si>
    <t>Vertrouwen van het publiek</t>
  </si>
  <si>
    <t>Catastrofale gevolgen</t>
  </si>
  <si>
    <r>
      <t>&lt;</t>
    </r>
    <r>
      <rPr>
        <i/>
        <sz val="9"/>
        <color theme="1"/>
        <rFont val="Verdana"/>
        <family val="2"/>
      </rPr>
      <t xml:space="preserve"> Neem bij de beantwoording van deze vraag zowel persoonsgegevens als niet persoonsgegevens mee</t>
    </r>
    <r>
      <rPr>
        <sz val="9"/>
        <color theme="1"/>
        <rFont val="Verdana"/>
        <family val="2"/>
      </rPr>
      <t>&gt;</t>
    </r>
  </si>
  <si>
    <t>Wat zijn de gevolgen voor het publieke imago van de organisatie als vertrouwelijke informatie van de organisatie onterecht wordt verspreid?</t>
  </si>
  <si>
    <t>Hoe is het publieke imago van de organisatie en wat zijn de gevolgen hiervoor als informatie onterecht wordt verspreid?</t>
  </si>
  <si>
    <t>V3</t>
  </si>
  <si>
    <t>Vertrouwen van ketenpartners</t>
  </si>
  <si>
    <t>Ja</t>
  </si>
  <si>
    <t>Mogelijk</t>
  </si>
  <si>
    <t>Nee</t>
  </si>
  <si>
    <t>N.v.t.</t>
  </si>
  <si>
    <t>Kan de organisatie toegang tot de keten geweigerd worden?</t>
  </si>
  <si>
    <t>V4</t>
  </si>
  <si>
    <t>Catastrofale  gevolgen</t>
  </si>
  <si>
    <t>Wat zijn de gevolgen voor de relatie met de ketenpartners, als vertrouwelijke informatie onterecht wordt verspreid.?</t>
  </si>
  <si>
    <t>Wat zijn de gevolgen voor connecties met ketenpartners, Suwi, BRP?</t>
  </si>
  <si>
    <t>V5</t>
  </si>
  <si>
    <t>(Wettelijke) Aansprakelijkheid</t>
  </si>
  <si>
    <t>&lt; Neem bij de beantwoording van deze vraag zowel persoonsgegevens als niet persoonsgegevens mee&gt;</t>
  </si>
  <si>
    <t>Wat zijn de gevolgen voor (wettelijke) aansprakelijkheid bij het onterecht verspreiden van deze informatie?</t>
  </si>
  <si>
    <t>Is de organisatie aansprakelijk voor het onterecht verspreiden van informatie / persoonsgegevens en wat zijn de gevolgen daarvan?</t>
  </si>
  <si>
    <t>V6</t>
  </si>
  <si>
    <t>Geen kosten</t>
  </si>
  <si>
    <t>&lt; Neem bij de beantwoording van deze vraag zowel persoonsgegevens als niet persoonsgegevens mee. Het gaat hier dus ook over de bestuurlijke boete van de Autoriteit Persoonsgegevens en andere toezichthouders voor de Cbw&gt;</t>
  </si>
  <si>
    <t>Let op: ook onterechte openbaarmaking en lekken van informatie kan een Cbw boete tot gevolg hebben.</t>
  </si>
  <si>
    <t>In hoeverre is er sprake van additionele kosten door onterechte verspreiding van deze informatie?</t>
  </si>
  <si>
    <t>Denk aan herstelkosten, juridische kosten, schadevergoedingen et cetera.</t>
  </si>
  <si>
    <t>V7</t>
  </si>
  <si>
    <t>Zeer hoge invloed</t>
  </si>
  <si>
    <t>Hoge invloed</t>
  </si>
  <si>
    <t>Gemiddelde invloed</t>
  </si>
  <si>
    <t>Lage invloed</t>
  </si>
  <si>
    <t>Geen invloed</t>
  </si>
  <si>
    <r>
      <t>&lt;</t>
    </r>
    <r>
      <rPr>
        <i/>
        <sz val="8"/>
        <color theme="1"/>
        <rFont val="Verdana"/>
        <family val="2"/>
      </rPr>
      <t xml:space="preserve"> Neem bij de beantwoording van deze vraag zowel persoonsgegevens als niet persoonsgegevens mee&gt;</t>
    </r>
  </si>
  <si>
    <t>In hoeverre kan een duidelijk negatieve invloed op het moreel en de motivatie van medewerkers een gevolg zijn van de onterechte verspreiding van deze informatie?</t>
  </si>
  <si>
    <t>Niveau</t>
  </si>
  <si>
    <t>Totaal Vertrouwelijkheid:</t>
  </si>
  <si>
    <t>Omschrijving</t>
  </si>
  <si>
    <t>Dit is de hoogste vertrouwelijkheidsklasse en geldt voor informatie waarvan openbaarmaking catastrofale gevolgen heeft voor de samenleving of de nationale veiligheid. Ongeautoriseerde kennisname is volledig onacceptabel. Het verlies van deze informatie zou vitale belangen direct in gevaar brengen en kan leiden tot ernstige maatschappelijke ontwrichting of crisis. Beveiliging op dit niveau is zeer zwaar en strikt gereguleerd volgens Algemene Beveiligingseisen voor Defensieopdrachten (ABDO) of Algemene Beveiligingseisen voor Rijksoverheidsopdrachten (ABRO), vaak in combinatie met intensief toezicht door bevoegde veiligheidsdiensten. Risicomanagement kan aanvullend worden toegepast, maar de primaire leidraad is dat geen enkel risico acceptabel is. Dit niveau komt bij gemeenten zeer waarschijnlijk niet voor.</t>
  </si>
  <si>
    <t xml:space="preserve">Dit betreft informatie die van zo’n grote gevoeligheid is dat openbaarmaking ernstig schadelijk zou zijn. Ongeautoriseerde kennisname moet actief en strikt worden voorkomen. De gevolgen zijn groot: blijvende schade aan vertrouwen in de overheid, aanzienlijke juridische claims en hoge herstelkosten. Op dit niveau gelden altijd aanvullende beveiligingsregels uit Algemene Beveiligingseisen voor Defensieopdrachten (ABDO) of Algemene Beveiligingseisen voor Rijksoverheidsopdrachten (ABRO). BIO2 alleen is niet voldoende, omdat hier nationale veiligheid en staatsbelangen in het geding zijn. </t>
  </si>
  <si>
    <t>Bij dit niveau gaat het om informatie die gevoeliger is en waarbij de overheid weerstand tegen spionage en misbruik moet organiseren. Ongeautoriseerde openbaarmaking is schadelijk en moet zoveel mogelijk worden voorkomen. De gevolgen kunnen aanzienlijk zijn: reputatieschade, juridische claims en verstoring van de samenwerking met partners. Bij dit niveau wordt minimaal BIO2 toegepast, aangevuld met risicomanagement en waar nodig extra maatregelen tegen statelijke actoren, zoals monitoring, logging of leveranciersscreening. Dit is ook het niveau waarop de Dep.V-maatregelen uit Algemene Beveiligingseisen voor Defensieopdrachten (ABDO) of Algemene Beveiligingseisen voor Rijksoverheidsopdrachten (ABRO) relevant worden.</t>
  </si>
  <si>
    <t>Dit betreft informatie die binnen de organisatie moet blijven, maar waarvan de gevolgen van openbaarmaking nog beperkt zijn. Onbevoegde kennisname is ongewenst, omdat dit hinder kan veroorzaken of herstelwerk nodig maakt. De vertrouwelijkheid is hier vooral een praktische randvoorwaarde: er kan sprake zijn van lichte reputatieschade of interne verstoring, maar de gevolgen zijn doorgaans herstelbaar.</t>
  </si>
  <si>
    <t>Het gaat hier om informatie die zonder risico gedeeld kan worden met iedereen. De gegevens zijn ongerubriceerd (hoeven niet als zodanig gemarkeerd te worden) en bedoeld voor openbaarheid, bijvoorbeeld op de gemeentelijke website of in een folder. Ongeautoriseerde kennisname is toegestaan en levert geen schade op. Er is dus geen noodzaak om deze informatie extra af te schermen of te beveiligen.
Het gaat hierbij om openbare gegevens. De gegevens hoeven niet afgeschermd te worden. Let wel op, deze gegevens kunnen nog steeds integer, authentiek en beschikbaar moeten zijn.</t>
  </si>
  <si>
    <t>Resultaat Informatie Classificatietoets BIO2 gemeenten</t>
  </si>
  <si>
    <t>(inhoud van deze vragen komt van het blad "Algemene vragen")</t>
  </si>
  <si>
    <t>Invuller:</t>
  </si>
  <si>
    <t xml:space="preserve">Proces: </t>
  </si>
  <si>
    <t xml:space="preserve">Informatie: </t>
  </si>
  <si>
    <t>Resultaat informatieclassificatie BIO2</t>
  </si>
  <si>
    <t>Niveau \ Kwaliteitsaspect</t>
  </si>
  <si>
    <t>Waarde</t>
  </si>
  <si>
    <t>Beschikbaarheid</t>
  </si>
  <si>
    <t>Integriteit</t>
  </si>
  <si>
    <t>Vertrouwelijkheid</t>
  </si>
  <si>
    <t>Is er een motivatie om af te wijken van de conclusie (door de data-eigenaar)?</t>
  </si>
  <si>
    <t>Aldus opgemaakt d.d.</t>
  </si>
  <si>
    <t>Naam Eigenaar</t>
  </si>
  <si>
    <t>Handtekening</t>
  </si>
  <si>
    <t>Tabellen</t>
  </si>
  <si>
    <t>BIR Basissets</t>
  </si>
  <si>
    <t>Waarderings en keuze tabellen gebruikt in de overige sheets, niet wijzigen!</t>
  </si>
  <si>
    <t>Keuze tabellen</t>
  </si>
  <si>
    <t>basisset 1 integriteit</t>
  </si>
  <si>
    <t>beschikbaarheid</t>
  </si>
  <si>
    <t>Beschikbaar keuze alternatief</t>
  </si>
  <si>
    <t>Wet en regegeving</t>
  </si>
  <si>
    <t xml:space="preserve"> </t>
  </si>
  <si>
    <t>x</t>
  </si>
  <si>
    <t>Algemeen geldende principes</t>
  </si>
  <si>
    <t>Ondersteunende processen</t>
  </si>
  <si>
    <t>basisset 2 vertrouwelijkheid, persoonsgegevens</t>
  </si>
  <si>
    <t>Incl Basisset 1</t>
  </si>
  <si>
    <t>Afhankelijkheden ketens en netwerken</t>
  </si>
  <si>
    <t>Primaire processen</t>
  </si>
  <si>
    <t>Keuze tabellen integriteit</t>
  </si>
  <si>
    <t>basisset 3 dep-v informatie</t>
  </si>
  <si>
    <t>incl Basisset 2</t>
  </si>
  <si>
    <t>VIR-BI dep V</t>
  </si>
  <si>
    <t>eu/nato restricted</t>
  </si>
  <si>
    <t>Basisset 4</t>
  </si>
  <si>
    <t>nvt</t>
  </si>
  <si>
    <t>Keuze tabellen vertrouwelijkheid</t>
  </si>
  <si>
    <t>Open info</t>
  </si>
  <si>
    <t>geen hoge beschikbaarheids eisen</t>
  </si>
  <si>
    <t>risicomanagement met baselineset</t>
  </si>
  <si>
    <t>nato stelt, beleid mbt noodvernietiging</t>
  </si>
  <si>
    <t>en bcm nato eis</t>
  </si>
  <si>
    <t>Privacy keuzetabel</t>
  </si>
  <si>
    <t>keuzep2</t>
  </si>
  <si>
    <t>kritiek versus essentieel systeem vragen</t>
  </si>
  <si>
    <t>ja</t>
  </si>
  <si>
    <t>nee</t>
  </si>
  <si>
    <t>Aantekeningen: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</si>
</sst>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9"/>
      <color theme="1"/>
      <name val="Verdana"/>
      <family val="2"/>
    </font>
    <font>
      <b/>
      <sz val="9"/>
      <color theme="1"/>
      <name val="Verdana"/>
      <family val="2"/>
    </font>
    <font>
      <u/>
      <sz val="11"/>
      <color theme="10"/>
      <name val="Calibri"/>
      <family val="2"/>
      <scheme val="minor"/>
    </font>
    <font>
      <i/>
      <sz val="9"/>
      <color theme="1"/>
      <name val="Verdana"/>
      <family val="2"/>
    </font>
    <font>
      <i/>
      <sz val="9"/>
      <color rgb="FFFFFFFF"/>
      <name val="Verdana"/>
      <family val="2"/>
    </font>
    <font>
      <sz val="9"/>
      <color rgb="FFFFFFFF"/>
      <name val="Verdana"/>
      <family val="2"/>
    </font>
    <font>
      <sz val="9"/>
      <color theme="0"/>
      <name val="Verdana"/>
      <family val="2"/>
    </font>
    <font>
      <i/>
      <sz val="9"/>
      <color theme="0"/>
      <name val="Verdana"/>
      <family val="2"/>
    </font>
    <font>
      <b/>
      <sz val="11"/>
      <color theme="1"/>
      <name val="Calibri"/>
      <family val="2"/>
      <scheme val="minor"/>
    </font>
    <font>
      <i/>
      <sz val="11"/>
      <color theme="1"/>
      <name val="Calibri"/>
      <family val="2"/>
      <scheme val="minor"/>
    </font>
    <font>
      <sz val="16"/>
      <color theme="1"/>
      <name val="Calibri"/>
      <family val="2"/>
      <scheme val="minor"/>
    </font>
    <font>
      <sz val="11"/>
      <color rgb="FF9C6500"/>
      <name val="Calibri"/>
      <family val="2"/>
      <scheme val="minor"/>
    </font>
    <font>
      <b/>
      <sz val="11"/>
      <color theme="0"/>
      <name val="Calibri"/>
      <family val="2"/>
      <scheme val="minor"/>
    </font>
    <font>
      <b/>
      <sz val="18"/>
      <color theme="1"/>
      <name val="Calibri"/>
      <family val="2"/>
      <scheme val="minor"/>
    </font>
    <font>
      <i/>
      <sz val="8"/>
      <color theme="1"/>
      <name val="Verdana"/>
      <family val="2"/>
    </font>
    <font>
      <i/>
      <sz val="8"/>
      <color theme="1"/>
      <name val="Calibri"/>
      <family val="2"/>
      <scheme val="minor"/>
    </font>
    <font>
      <b/>
      <sz val="14"/>
      <color theme="1"/>
      <name val="Calibri"/>
      <family val="2"/>
      <scheme val="minor"/>
    </font>
    <font>
      <b/>
      <sz val="24"/>
      <color theme="1"/>
      <name val="Verdana"/>
      <family val="2"/>
    </font>
    <font>
      <sz val="11"/>
      <color rgb="FFFF0000"/>
      <name val="Calibri"/>
      <family val="2"/>
      <scheme val="minor"/>
    </font>
    <font>
      <sz val="7"/>
      <color theme="1"/>
      <name val="Verdana"/>
      <family val="2"/>
    </font>
    <font>
      <b/>
      <sz val="20"/>
      <color theme="1"/>
      <name val="Verdana"/>
      <family val="2"/>
    </font>
    <font>
      <b/>
      <sz val="10"/>
      <color theme="1"/>
      <name val="Calibri"/>
      <family val="2"/>
      <scheme val="minor"/>
    </font>
    <font>
      <b/>
      <sz val="14"/>
      <color rgb="FF003359"/>
      <name val="Calibri"/>
      <family val="2"/>
      <scheme val="minor"/>
    </font>
    <font>
      <b/>
      <sz val="16"/>
      <color theme="1"/>
      <name val="Calibri"/>
      <family val="2"/>
      <scheme val="minor"/>
    </font>
    <font>
      <sz val="10"/>
      <color theme="1"/>
      <name val="Calibri"/>
      <family val="2"/>
      <scheme val="minor"/>
    </font>
    <font>
      <sz val="9"/>
      <color theme="1"/>
      <name val="Calibri"/>
      <family val="2"/>
      <scheme val="minor"/>
    </font>
    <font>
      <sz val="11"/>
      <color theme="1"/>
      <name val="Calibri"/>
      <family val="2"/>
    </font>
    <font>
      <sz val="8"/>
      <color theme="1"/>
      <name val="Verdana"/>
      <family val="2"/>
    </font>
    <font>
      <sz val="10"/>
      <color theme="1"/>
      <name val="Calibri"/>
      <family val="2"/>
    </font>
    <font>
      <sz val="9"/>
      <color theme="1"/>
      <name val="Calibri"/>
      <family val="2"/>
    </font>
    <font>
      <sz val="12"/>
      <color theme="1"/>
      <name val="Calibri"/>
      <family val="2"/>
    </font>
    <font>
      <b/>
      <i/>
      <sz val="9"/>
      <color theme="1"/>
      <name val="Calibri"/>
      <family val="2"/>
      <scheme val="minor"/>
    </font>
  </fonts>
  <fills count="10">
    <fill>
      <patternFill patternType="none"/>
    </fill>
    <fill>
      <patternFill patternType="gray125"/>
    </fill>
    <fill>
      <patternFill patternType="solid">
        <bgColor indexed="64"/>
      </patternFill>
    </fill>
    <fill>
      <patternFill patternType="solid">
        <fgColor theme="1"/>
        <bgColor indexed="64"/>
      </patternFill>
    </fill>
    <fill>
      <patternFill patternType="solid">
        <fgColor rgb="FFFFFF00"/>
        <bgColor indexed="64"/>
      </patternFill>
    </fill>
    <fill>
      <patternFill patternType="solid">
        <fgColor rgb="FFFFEB9C"/>
      </patternFill>
    </fill>
    <fill>
      <patternFill patternType="solid">
        <fgColor theme="0" tint="-0.14999847407452621"/>
        <bgColor indexed="64"/>
      </patternFill>
    </fill>
    <fill>
      <patternFill patternType="solid">
        <fgColor rgb="FFFFC000"/>
        <bgColor indexed="64"/>
      </patternFill>
    </fill>
    <fill>
      <patternFill patternType="solid">
        <fgColor rgb="FF92D050"/>
        <bgColor indexed="64"/>
      </patternFill>
    </fill>
    <fill>
      <patternFill patternType="solid">
        <fgColor theme="5" tint="0.39997558519241921"/>
        <bgColor indexed="64"/>
      </patternFill>
    </fill>
  </fills>
  <borders count="4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ck">
        <color indexed="64"/>
      </left>
      <right/>
      <top style="thick">
        <color indexed="64"/>
      </top>
      <bottom/>
      <diagonal/>
    </border>
    <border>
      <left/>
      <right style="medium">
        <color indexed="64"/>
      </right>
      <top style="thick">
        <color indexed="64"/>
      </top>
      <bottom/>
      <diagonal/>
    </border>
    <border>
      <left style="thick">
        <color indexed="64"/>
      </left>
      <right/>
      <top/>
      <bottom style="medium">
        <color indexed="64"/>
      </bottom>
      <diagonal/>
    </border>
    <border>
      <left/>
      <right style="medium">
        <color indexed="64"/>
      </right>
      <top/>
      <bottom style="medium">
        <color indexed="64"/>
      </bottom>
      <diagonal/>
    </border>
    <border>
      <left/>
      <right/>
      <top style="thick">
        <color indexed="64"/>
      </top>
      <bottom/>
      <diagonal/>
    </border>
    <border>
      <left/>
      <right/>
      <top/>
      <bottom style="medium">
        <color indexed="64"/>
      </bottom>
      <diagonal/>
    </border>
    <border>
      <left/>
      <right style="thick">
        <color indexed="64"/>
      </right>
      <top style="thick">
        <color indexed="64"/>
      </top>
      <bottom/>
      <diagonal/>
    </border>
    <border>
      <left/>
      <right style="thick">
        <color indexed="64"/>
      </right>
      <top/>
      <bottom style="medium">
        <color indexed="64"/>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right style="medium">
        <color indexed="64"/>
      </right>
      <top/>
      <bottom/>
      <diagonal/>
    </border>
    <border>
      <left/>
      <right style="thick">
        <color indexed="64"/>
      </right>
      <top/>
      <bottom/>
      <diagonal/>
    </border>
    <border>
      <left style="medium">
        <color indexed="64"/>
      </left>
      <right/>
      <top style="thick">
        <color indexed="64"/>
      </top>
      <bottom/>
      <diagonal/>
    </border>
    <border>
      <left style="medium">
        <color indexed="64"/>
      </left>
      <right/>
      <top/>
      <bottom style="medium">
        <color indexed="64"/>
      </bottom>
      <diagonal/>
    </border>
    <border>
      <left style="thick">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medium">
        <color indexed="64"/>
      </right>
      <top style="medium">
        <color indexed="64"/>
      </top>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thick">
        <color indexed="64"/>
      </left>
      <right style="medium">
        <color indexed="64"/>
      </right>
      <top/>
      <bottom style="thick">
        <color indexed="64"/>
      </bottom>
      <diagonal/>
    </border>
    <border>
      <left/>
      <right style="thick">
        <color indexed="64"/>
      </right>
      <top/>
      <bottom style="thick">
        <color indexed="64"/>
      </bottom>
      <diagonal/>
    </border>
    <border>
      <left/>
      <right/>
      <top/>
      <bottom style="thick">
        <color indexed="64"/>
      </bottom>
      <diagonal/>
    </border>
    <border>
      <left style="thick">
        <color indexed="64"/>
      </left>
      <right/>
      <top style="medium">
        <color indexed="64"/>
      </top>
      <bottom/>
      <diagonal/>
    </border>
    <border>
      <left/>
      <right style="medium">
        <color indexed="64"/>
      </right>
      <top style="medium">
        <color indexed="64"/>
      </top>
      <bottom/>
      <diagonal/>
    </border>
    <border>
      <left style="medium">
        <color indexed="64"/>
      </left>
      <right/>
      <top/>
      <bottom style="thick">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ck">
        <color indexed="64"/>
      </left>
      <right style="medium">
        <color indexed="64"/>
      </right>
      <top style="medium">
        <color indexed="64"/>
      </top>
      <bottom style="thin">
        <color indexed="64"/>
      </bottom>
      <diagonal/>
    </border>
    <border>
      <left/>
      <right style="thick">
        <color indexed="64"/>
      </right>
      <top style="medium">
        <color indexed="64"/>
      </top>
      <bottom style="thin">
        <color indexed="64"/>
      </bottom>
      <diagonal/>
    </border>
    <border>
      <left style="thick">
        <color indexed="64"/>
      </left>
      <right style="medium">
        <color indexed="64"/>
      </right>
      <top style="thin">
        <color indexed="64"/>
      </top>
      <bottom style="thin">
        <color indexed="64"/>
      </bottom>
      <diagonal/>
    </border>
    <border>
      <left/>
      <right style="thick">
        <color indexed="64"/>
      </right>
      <top style="thin">
        <color indexed="64"/>
      </top>
      <bottom style="thin">
        <color indexed="64"/>
      </bottom>
      <diagonal/>
    </border>
    <border>
      <left/>
      <right/>
      <top style="medium">
        <color indexed="64"/>
      </top>
      <bottom/>
      <diagonal/>
    </border>
    <border>
      <left/>
      <right style="thick">
        <color indexed="64"/>
      </right>
      <top style="medium">
        <color indexed="64"/>
      </top>
      <bottom/>
      <diagonal/>
    </border>
    <border>
      <left style="medium">
        <color indexed="64"/>
      </left>
      <right style="medium">
        <color indexed="64"/>
      </right>
      <top style="medium">
        <color indexed="64"/>
      </top>
      <bottom/>
      <diagonal/>
    </border>
  </borders>
  <cellStyleXfs count="3">
    <xf numFmtId="0" fontId="0" fillId="0" borderId="0"/>
    <xf numFmtId="0" fontId="3" fillId="0" borderId="0" applyNumberFormat="0" applyFill="0" applyBorder="0" applyAlignment="0" applyProtection="0"/>
    <xf numFmtId="0" fontId="12" fillId="5" borderId="0" applyNumberFormat="0" applyBorder="0" applyAlignment="0" applyProtection="0"/>
  </cellStyleXfs>
  <cellXfs count="165">
    <xf numFmtId="0" fontId="0" fillId="0" borderId="0" xfId="0"/>
    <xf numFmtId="0" fontId="6" fillId="2" borderId="10" xfId="0" applyFont="1" applyFill="1" applyBorder="1" applyAlignment="1">
      <alignment vertical="center" wrapText="1"/>
    </xf>
    <xf numFmtId="0" fontId="5" fillId="2" borderId="11" xfId="0" applyFont="1" applyFill="1" applyBorder="1" applyAlignment="1">
      <alignment vertical="center" wrapText="1"/>
    </xf>
    <xf numFmtId="0" fontId="1" fillId="0" borderId="7" xfId="0" applyFont="1" applyBorder="1" applyAlignment="1">
      <alignment vertical="center" wrapText="1"/>
    </xf>
    <xf numFmtId="0" fontId="1" fillId="0" borderId="11" xfId="0" applyFont="1" applyBorder="1" applyAlignment="1">
      <alignment vertical="center" wrapText="1"/>
    </xf>
    <xf numFmtId="0" fontId="2" fillId="0" borderId="14" xfId="0" applyFont="1" applyBorder="1" applyAlignment="1">
      <alignment vertical="center" wrapText="1"/>
    </xf>
    <xf numFmtId="0" fontId="1" fillId="0" borderId="14" xfId="0" applyFont="1" applyBorder="1" applyAlignment="1">
      <alignment vertical="center" wrapText="1"/>
    </xf>
    <xf numFmtId="0" fontId="0" fillId="0" borderId="14" xfId="0" applyBorder="1" applyAlignment="1">
      <alignment vertical="top" wrapText="1"/>
    </xf>
    <xf numFmtId="0" fontId="0" fillId="0" borderId="7" xfId="0" applyBorder="1" applyAlignment="1">
      <alignment vertical="top" wrapText="1"/>
    </xf>
    <xf numFmtId="0" fontId="1" fillId="0" borderId="12" xfId="0" applyFont="1" applyBorder="1" applyAlignment="1">
      <alignment vertical="center" wrapText="1"/>
    </xf>
    <xf numFmtId="0" fontId="3" fillId="0" borderId="0" xfId="1" applyAlignment="1">
      <alignment vertical="center"/>
    </xf>
    <xf numFmtId="0" fontId="2" fillId="0" borderId="7" xfId="0" applyFont="1" applyBorder="1" applyAlignment="1">
      <alignment vertical="center" wrapText="1"/>
    </xf>
    <xf numFmtId="0" fontId="7" fillId="2" borderId="10" xfId="0" applyFont="1" applyFill="1" applyBorder="1" applyAlignment="1">
      <alignment vertical="center" wrapText="1"/>
    </xf>
    <xf numFmtId="0" fontId="8" fillId="2" borderId="11" xfId="0" applyFont="1" applyFill="1" applyBorder="1" applyAlignment="1">
      <alignment vertical="center" wrapText="1"/>
    </xf>
    <xf numFmtId="0" fontId="9" fillId="0" borderId="0" xfId="0" applyFont="1"/>
    <xf numFmtId="0" fontId="1" fillId="0" borderId="0" xfId="0" applyFont="1" applyAlignment="1">
      <alignment vertical="center" wrapText="1"/>
    </xf>
    <xf numFmtId="0" fontId="1" fillId="4" borderId="7" xfId="0" applyFont="1" applyFill="1" applyBorder="1" applyAlignment="1">
      <alignment horizontal="center" vertical="center" wrapText="1"/>
    </xf>
    <xf numFmtId="0" fontId="2" fillId="0" borderId="0" xfId="0" applyFont="1" applyAlignment="1">
      <alignment vertical="center" wrapText="1"/>
    </xf>
    <xf numFmtId="0" fontId="11" fillId="0" borderId="0" xfId="0" applyFont="1"/>
    <xf numFmtId="0" fontId="0" fillId="0" borderId="0" xfId="0" applyAlignment="1">
      <alignment wrapText="1"/>
    </xf>
    <xf numFmtId="0" fontId="10" fillId="0" borderId="0" xfId="0" applyFont="1" applyAlignment="1">
      <alignment wrapText="1"/>
    </xf>
    <xf numFmtId="0" fontId="9" fillId="0" borderId="0" xfId="0" applyFont="1" applyAlignment="1">
      <alignment wrapText="1"/>
    </xf>
    <xf numFmtId="0" fontId="2" fillId="0" borderId="0" xfId="0" applyFont="1"/>
    <xf numFmtId="0" fontId="0" fillId="0" borderId="0" xfId="0" quotePrefix="1"/>
    <xf numFmtId="0" fontId="14" fillId="0" borderId="0" xfId="0" applyFont="1"/>
    <xf numFmtId="0" fontId="13" fillId="3" borderId="0" xfId="0" applyFont="1" applyFill="1"/>
    <xf numFmtId="0" fontId="0" fillId="0" borderId="0" xfId="0" applyAlignment="1">
      <alignment horizontal="left"/>
    </xf>
    <xf numFmtId="0" fontId="1" fillId="4" borderId="11" xfId="0" applyFont="1" applyFill="1" applyBorder="1" applyAlignment="1">
      <alignment vertical="center" wrapText="1"/>
    </xf>
    <xf numFmtId="0" fontId="1" fillId="4" borderId="15" xfId="0" applyFont="1" applyFill="1" applyBorder="1" applyAlignment="1">
      <alignment vertical="center" wrapText="1"/>
    </xf>
    <xf numFmtId="0" fontId="4" fillId="4" borderId="11" xfId="0" applyFont="1" applyFill="1" applyBorder="1" applyAlignment="1">
      <alignment vertical="center" wrapText="1"/>
    </xf>
    <xf numFmtId="0" fontId="4" fillId="4" borderId="15" xfId="0" applyFont="1" applyFill="1" applyBorder="1" applyAlignment="1">
      <alignment vertical="center" wrapText="1"/>
    </xf>
    <xf numFmtId="0" fontId="0" fillId="4" borderId="0" xfId="0" applyFill="1" applyAlignment="1">
      <alignment wrapText="1"/>
    </xf>
    <xf numFmtId="0" fontId="15" fillId="0" borderId="0" xfId="0" applyFont="1" applyAlignment="1">
      <alignment vertical="center"/>
    </xf>
    <xf numFmtId="0" fontId="16" fillId="0" borderId="0" xfId="0" applyFont="1"/>
    <xf numFmtId="0" fontId="2" fillId="0" borderId="1" xfId="0" applyFont="1" applyBorder="1" applyAlignment="1">
      <alignment vertical="center" wrapText="1"/>
    </xf>
    <xf numFmtId="0" fontId="1" fillId="0" borderId="7"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9" xfId="0" applyFont="1" applyBorder="1" applyAlignment="1">
      <alignment vertical="center" wrapText="1"/>
    </xf>
    <xf numFmtId="0" fontId="18" fillId="0" borderId="24" xfId="0" applyFont="1" applyBorder="1" applyAlignment="1">
      <alignment horizontal="center" vertical="center" wrapText="1"/>
    </xf>
    <xf numFmtId="0" fontId="1" fillId="0" borderId="21" xfId="0" applyFont="1" applyBorder="1" applyAlignment="1">
      <alignment vertical="center" wrapText="1"/>
    </xf>
    <xf numFmtId="0" fontId="2" fillId="0" borderId="9" xfId="0" applyFont="1" applyBorder="1" applyAlignment="1">
      <alignment vertical="center" wrapText="1"/>
    </xf>
    <xf numFmtId="0" fontId="8" fillId="2" borderId="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0" fillId="0" borderId="3" xfId="0" applyBorder="1" applyAlignment="1">
      <alignment horizontal="center" vertical="center" wrapText="1"/>
    </xf>
    <xf numFmtId="0" fontId="0" fillId="0" borderId="7" xfId="0" applyBorder="1" applyAlignment="1">
      <alignment horizontal="center" vertical="center" wrapText="1"/>
    </xf>
    <xf numFmtId="0" fontId="0" fillId="0" borderId="14" xfId="0" applyBorder="1" applyAlignment="1">
      <alignment horizontal="center" vertical="center" wrapText="1"/>
    </xf>
    <xf numFmtId="0" fontId="1" fillId="0" borderId="33" xfId="0" applyFont="1" applyBorder="1" applyAlignment="1">
      <alignment horizontal="center" vertical="center" textRotation="90" wrapText="1"/>
    </xf>
    <xf numFmtId="0" fontId="1" fillId="0" borderId="37" xfId="0" applyFont="1" applyBorder="1" applyAlignment="1">
      <alignment horizontal="center" vertical="center" textRotation="90" wrapText="1"/>
    </xf>
    <xf numFmtId="0" fontId="1" fillId="0" borderId="2" xfId="0" applyFont="1" applyBorder="1" applyAlignment="1">
      <alignment horizontal="center" vertical="center" textRotation="90" wrapText="1"/>
    </xf>
    <xf numFmtId="0" fontId="17" fillId="6" borderId="32" xfId="0" applyFont="1" applyFill="1" applyBorder="1" applyAlignment="1">
      <alignment horizontal="center" vertical="center"/>
    </xf>
    <xf numFmtId="0" fontId="17" fillId="9" borderId="32" xfId="0" applyFont="1" applyFill="1" applyBorder="1" applyAlignment="1">
      <alignment horizontal="center" vertical="center" wrapText="1"/>
    </xf>
    <xf numFmtId="0" fontId="17" fillId="7" borderId="32" xfId="0" applyFont="1" applyFill="1" applyBorder="1" applyAlignment="1">
      <alignment horizontal="center" vertical="center" wrapText="1"/>
    </xf>
    <xf numFmtId="0" fontId="17" fillId="8" borderId="32" xfId="2" applyFont="1" applyFill="1" applyBorder="1" applyAlignment="1">
      <alignment horizontal="center" vertical="center" wrapText="1"/>
    </xf>
    <xf numFmtId="0" fontId="19" fillId="0" borderId="0" xfId="0" applyFont="1"/>
    <xf numFmtId="0" fontId="1" fillId="4" borderId="2" xfId="0" applyFont="1" applyFill="1" applyBorder="1" applyAlignment="1">
      <alignment horizontal="center" vertical="center" wrapText="1"/>
    </xf>
    <xf numFmtId="0" fontId="20" fillId="0" borderId="14" xfId="0" applyFont="1" applyBorder="1" applyAlignment="1">
      <alignment horizontal="center" vertical="center" wrapText="1"/>
    </xf>
    <xf numFmtId="0" fontId="6" fillId="2" borderId="8" xfId="0" applyFont="1" applyFill="1" applyBorder="1" applyAlignment="1">
      <alignment vertical="center" wrapText="1"/>
    </xf>
    <xf numFmtId="0" fontId="5" fillId="2" borderId="9" xfId="0" applyFont="1" applyFill="1" applyBorder="1" applyAlignment="1">
      <alignment vertical="center" wrapText="1"/>
    </xf>
    <xf numFmtId="0" fontId="7" fillId="2" borderId="8" xfId="0" applyFont="1" applyFill="1" applyBorder="1" applyAlignment="1">
      <alignment horizontal="center" vertical="center" wrapText="1"/>
    </xf>
    <xf numFmtId="0" fontId="20" fillId="0" borderId="0" xfId="0" applyFont="1" applyAlignment="1">
      <alignment horizontal="center" vertical="center" wrapText="1"/>
    </xf>
    <xf numFmtId="0" fontId="1" fillId="4" borderId="9" xfId="0" applyFont="1" applyFill="1" applyBorder="1" applyAlignment="1">
      <alignment horizontal="center" vertical="center" wrapText="1"/>
    </xf>
    <xf numFmtId="0" fontId="20" fillId="0" borderId="47" xfId="0" applyFont="1" applyBorder="1" applyAlignment="1">
      <alignment horizontal="center" vertical="center" wrapText="1"/>
    </xf>
    <xf numFmtId="0" fontId="0" fillId="0" borderId="2" xfId="0" applyBorder="1" applyAlignment="1">
      <alignment horizontal="center" vertical="center" wrapText="1"/>
    </xf>
    <xf numFmtId="0" fontId="7" fillId="2" borderId="9" xfId="0" applyFont="1" applyFill="1" applyBorder="1" applyAlignment="1">
      <alignment horizontal="center" vertical="center" wrapText="1"/>
    </xf>
    <xf numFmtId="0" fontId="7" fillId="3" borderId="11" xfId="0" applyFont="1" applyFill="1" applyBorder="1" applyAlignment="1">
      <alignment vertical="center" wrapText="1"/>
    </xf>
    <xf numFmtId="0" fontId="18" fillId="0" borderId="9" xfId="0" applyFont="1" applyBorder="1" applyAlignment="1">
      <alignment horizontal="center" vertical="center" wrapText="1"/>
    </xf>
    <xf numFmtId="0" fontId="20" fillId="0" borderId="3" xfId="0" applyFont="1" applyBorder="1" applyAlignment="1">
      <alignment horizontal="center" vertical="center" wrapText="1"/>
    </xf>
    <xf numFmtId="0" fontId="23" fillId="0" borderId="0" xfId="0" applyFont="1" applyAlignment="1">
      <alignment horizontal="left" vertical="center" wrapText="1"/>
    </xf>
    <xf numFmtId="0" fontId="24" fillId="0" borderId="0" xfId="0" applyFont="1" applyAlignment="1">
      <alignment wrapText="1"/>
    </xf>
    <xf numFmtId="0" fontId="25" fillId="0" borderId="0" xfId="0" applyFont="1" applyAlignment="1">
      <alignment wrapText="1"/>
    </xf>
    <xf numFmtId="0" fontId="0" fillId="0" borderId="0" xfId="0" applyAlignment="1">
      <alignment horizontal="left" vertical="top" wrapText="1"/>
    </xf>
    <xf numFmtId="2" fontId="0" fillId="0" borderId="0" xfId="0" applyNumberFormat="1"/>
    <xf numFmtId="0" fontId="26" fillId="0" borderId="0" xfId="0" applyFont="1" applyAlignment="1">
      <alignment vertical="center" wrapText="1"/>
    </xf>
    <xf numFmtId="0" fontId="25" fillId="0" borderId="0" xfId="0" applyFont="1" applyAlignment="1">
      <alignment horizontal="left" vertical="center" wrapText="1"/>
    </xf>
    <xf numFmtId="0" fontId="25" fillId="0" borderId="0" xfId="0" applyFont="1" applyAlignment="1">
      <alignment vertical="center" wrapText="1"/>
    </xf>
    <xf numFmtId="0" fontId="29" fillId="0" borderId="0" xfId="0" applyFont="1" applyAlignment="1">
      <alignment vertical="center"/>
    </xf>
    <xf numFmtId="0" fontId="30" fillId="0" borderId="0" xfId="0" applyFont="1" applyAlignment="1">
      <alignment vertical="center"/>
    </xf>
    <xf numFmtId="0" fontId="27" fillId="0" borderId="0" xfId="0" applyFont="1" applyAlignment="1">
      <alignment vertical="center"/>
    </xf>
    <xf numFmtId="0" fontId="32" fillId="0" borderId="0" xfId="0" applyFont="1"/>
    <xf numFmtId="22" fontId="0" fillId="4" borderId="0" xfId="0" applyNumberFormat="1" applyFill="1"/>
    <xf numFmtId="0" fontId="0" fillId="4" borderId="0" xfId="0" applyFill="1"/>
    <xf numFmtId="0" fontId="28" fillId="4" borderId="15" xfId="0" applyFont="1" applyFill="1" applyBorder="1" applyAlignment="1">
      <alignment vertical="center" wrapText="1"/>
    </xf>
    <xf numFmtId="0" fontId="15" fillId="4" borderId="15" xfId="0" applyFont="1" applyFill="1" applyBorder="1" applyAlignment="1">
      <alignment vertical="center" wrapText="1"/>
    </xf>
    <xf numFmtId="0" fontId="10" fillId="4" borderId="0" xfId="0" applyFont="1" applyFill="1" applyAlignment="1">
      <alignment wrapText="1"/>
    </xf>
    <xf numFmtId="0" fontId="1" fillId="4" borderId="0" xfId="0" applyFont="1" applyFill="1" applyAlignment="1">
      <alignment vertical="center" wrapText="1"/>
    </xf>
    <xf numFmtId="0" fontId="4" fillId="4" borderId="0" xfId="0" applyFont="1" applyFill="1" applyAlignment="1">
      <alignment vertical="center" wrapText="1"/>
    </xf>
    <xf numFmtId="0" fontId="7" fillId="2" borderId="8" xfId="0" applyFont="1" applyFill="1" applyBorder="1" applyAlignment="1">
      <alignment vertical="center" wrapText="1"/>
    </xf>
    <xf numFmtId="0" fontId="8" fillId="2" borderId="0" xfId="0" applyFont="1" applyFill="1" applyAlignment="1">
      <alignment vertical="center" wrapText="1"/>
    </xf>
    <xf numFmtId="0" fontId="9" fillId="0" borderId="0" xfId="0" applyFont="1" applyAlignment="1">
      <alignment vertical="center" wrapText="1"/>
    </xf>
    <xf numFmtId="0" fontId="1" fillId="0" borderId="20" xfId="0" applyFont="1" applyBorder="1" applyAlignment="1">
      <alignment horizontal="center" vertical="center" textRotation="90" wrapText="1"/>
    </xf>
    <xf numFmtId="0" fontId="1" fillId="0" borderId="1" xfId="0" applyFont="1" applyBorder="1" applyAlignment="1">
      <alignment horizontal="center" vertical="center" textRotation="90" wrapText="1"/>
    </xf>
    <xf numFmtId="0" fontId="1" fillId="0" borderId="26" xfId="0" applyFont="1" applyBorder="1" applyAlignment="1">
      <alignment horizontal="center" vertical="center" textRotation="90" wrapText="1"/>
    </xf>
    <xf numFmtId="0" fontId="9" fillId="0" borderId="0" xfId="0" applyFont="1" applyAlignment="1">
      <alignment horizontal="left" vertical="center" wrapText="1"/>
    </xf>
    <xf numFmtId="0" fontId="9" fillId="4" borderId="0" xfId="0" applyFont="1" applyFill="1"/>
    <xf numFmtId="0" fontId="9" fillId="4" borderId="0" xfId="0" applyFont="1" applyFill="1" applyAlignment="1">
      <alignment wrapText="1"/>
    </xf>
    <xf numFmtId="0" fontId="9" fillId="0" borderId="0" xfId="0" applyFont="1" applyAlignment="1">
      <alignment vertical="top"/>
    </xf>
    <xf numFmtId="0" fontId="2" fillId="0" borderId="41" xfId="0" applyFont="1" applyBorder="1" applyAlignment="1">
      <alignment horizontal="center" vertical="center" textRotation="90" wrapText="1"/>
    </xf>
    <xf numFmtId="0" fontId="2" fillId="0" borderId="43" xfId="0" applyFont="1" applyBorder="1" applyAlignment="1">
      <alignment horizontal="center" vertical="center" textRotation="90" wrapText="1"/>
    </xf>
    <xf numFmtId="0" fontId="2" fillId="0" borderId="12" xfId="0" applyFont="1" applyBorder="1" applyAlignment="1">
      <alignment horizontal="center" vertical="center" textRotation="90" wrapText="1"/>
    </xf>
    <xf numFmtId="0" fontId="22" fillId="0" borderId="0" xfId="0" applyFont="1" applyAlignment="1">
      <alignment horizontal="left" vertical="center" wrapText="1"/>
    </xf>
    <xf numFmtId="0" fontId="25" fillId="0" borderId="32" xfId="0" applyFont="1" applyBorder="1" applyAlignment="1">
      <alignment vertical="top"/>
    </xf>
    <xf numFmtId="0" fontId="1" fillId="0" borderId="17" xfId="0" applyFont="1" applyBorder="1" applyAlignment="1">
      <alignment vertical="center" wrapText="1"/>
    </xf>
    <xf numFmtId="0" fontId="1" fillId="0" borderId="9" xfId="0" applyFont="1" applyBorder="1" applyAlignment="1">
      <alignment vertical="center" wrapText="1"/>
    </xf>
    <xf numFmtId="0" fontId="1" fillId="0" borderId="11" xfId="0" applyFont="1" applyBorder="1" applyAlignment="1">
      <alignment vertical="center" wrapText="1"/>
    </xf>
    <xf numFmtId="0" fontId="1" fillId="0" borderId="20" xfId="0" applyFont="1" applyBorder="1" applyAlignment="1">
      <alignment vertical="center" wrapText="1"/>
    </xf>
    <xf numFmtId="0" fontId="1" fillId="0" borderId="12" xfId="0" applyFont="1" applyBorder="1" applyAlignment="1">
      <alignment vertical="center" wrapText="1"/>
    </xf>
    <xf numFmtId="0" fontId="1" fillId="4" borderId="21" xfId="0" applyFont="1" applyFill="1" applyBorder="1" applyAlignment="1">
      <alignment vertical="center" wrapText="1"/>
    </xf>
    <xf numFmtId="0" fontId="1" fillId="4" borderId="22" xfId="0" applyFont="1" applyFill="1" applyBorder="1" applyAlignment="1">
      <alignment vertical="center" wrapText="1"/>
    </xf>
    <xf numFmtId="0" fontId="1" fillId="0" borderId="13" xfId="0" applyFont="1" applyBorder="1" applyAlignment="1">
      <alignment vertical="center" wrapText="1"/>
    </xf>
    <xf numFmtId="0" fontId="2" fillId="0" borderId="18" xfId="0" applyFont="1" applyBorder="1" applyAlignment="1">
      <alignment vertical="center" wrapText="1"/>
    </xf>
    <xf numFmtId="0" fontId="2" fillId="0" borderId="19" xfId="0" applyFont="1" applyBorder="1" applyAlignment="1">
      <alignment vertical="center" wrapText="1"/>
    </xf>
    <xf numFmtId="0" fontId="2" fillId="0" borderId="23" xfId="0" applyFont="1" applyBorder="1" applyAlignment="1">
      <alignment vertical="center" wrapText="1"/>
    </xf>
    <xf numFmtId="0" fontId="2" fillId="0" borderId="24"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4" xfId="0" applyFont="1" applyBorder="1" applyAlignment="1">
      <alignment vertical="center" wrapText="1"/>
    </xf>
    <xf numFmtId="0" fontId="1" fillId="0" borderId="34" xfId="0" applyFont="1" applyBorder="1" applyAlignment="1">
      <alignment vertical="center" wrapText="1"/>
    </xf>
    <xf numFmtId="0" fontId="1" fillId="0" borderId="35" xfId="0" applyFont="1" applyBorder="1" applyAlignment="1">
      <alignment vertical="center" wrapText="1"/>
    </xf>
    <xf numFmtId="0" fontId="1" fillId="0" borderId="42" xfId="0" applyFont="1" applyBorder="1" applyAlignment="1">
      <alignment vertical="center" wrapText="1"/>
    </xf>
    <xf numFmtId="0" fontId="21" fillId="0" borderId="23" xfId="0" applyFont="1" applyBorder="1" applyAlignment="1">
      <alignment horizontal="center" vertical="center" wrapText="1"/>
    </xf>
    <xf numFmtId="0" fontId="21" fillId="0" borderId="24" xfId="0" applyFont="1" applyBorder="1" applyAlignment="1">
      <alignment horizontal="center" vertical="center" wrapText="1"/>
    </xf>
    <xf numFmtId="0" fontId="21" fillId="0" borderId="19" xfId="0" applyFont="1" applyBorder="1" applyAlignment="1">
      <alignment horizontal="center" vertical="center" wrapText="1"/>
    </xf>
    <xf numFmtId="0" fontId="0" fillId="0" borderId="0" xfId="0" applyAlignment="1">
      <alignment horizontal="left" vertical="top" wrapText="1"/>
    </xf>
    <xf numFmtId="0" fontId="7" fillId="2" borderId="4" xfId="0" applyFont="1" applyFill="1" applyBorder="1" applyAlignment="1">
      <alignment vertical="center" wrapText="1"/>
    </xf>
    <xf numFmtId="0" fontId="7" fillId="2" borderId="5" xfId="0" applyFont="1" applyFill="1" applyBorder="1" applyAlignment="1">
      <alignment vertical="center" wrapText="1"/>
    </xf>
    <xf numFmtId="0" fontId="8" fillId="2" borderId="4" xfId="0" applyFont="1" applyFill="1" applyBorder="1" applyAlignment="1">
      <alignment vertical="center" wrapText="1"/>
    </xf>
    <xf numFmtId="0" fontId="8" fillId="2" borderId="5" xfId="0" applyFont="1" applyFill="1" applyBorder="1" applyAlignment="1">
      <alignment vertical="center" wrapText="1"/>
    </xf>
    <xf numFmtId="0" fontId="6" fillId="2" borderId="16" xfId="0" applyFont="1" applyFill="1" applyBorder="1" applyAlignment="1">
      <alignment vertical="center" wrapText="1"/>
    </xf>
    <xf numFmtId="0" fontId="6" fillId="2" borderId="8" xfId="0" applyFont="1" applyFill="1" applyBorder="1" applyAlignment="1">
      <alignment vertical="center" wrapText="1"/>
    </xf>
    <xf numFmtId="0" fontId="5" fillId="2" borderId="17" xfId="0" applyFont="1" applyFill="1" applyBorder="1" applyAlignment="1">
      <alignment vertical="center" wrapText="1"/>
    </xf>
    <xf numFmtId="0" fontId="5" fillId="2" borderId="9" xfId="0" applyFont="1" applyFill="1" applyBorder="1" applyAlignment="1">
      <alignment vertical="center" wrapText="1"/>
    </xf>
    <xf numFmtId="0" fontId="7" fillId="3" borderId="18" xfId="0" applyFont="1" applyFill="1" applyBorder="1" applyAlignment="1">
      <alignment vertical="center" wrapText="1"/>
    </xf>
    <xf numFmtId="0" fontId="7" fillId="3" borderId="19" xfId="0" applyFont="1" applyFill="1" applyBorder="1" applyAlignment="1">
      <alignment vertical="center" wrapText="1"/>
    </xf>
    <xf numFmtId="0" fontId="4" fillId="4" borderId="21" xfId="0" applyFont="1" applyFill="1" applyBorder="1" applyAlignment="1">
      <alignment vertical="center" wrapText="1"/>
    </xf>
    <xf numFmtId="0" fontId="4" fillId="4" borderId="22" xfId="0" applyFont="1" applyFill="1" applyBorder="1" applyAlignment="1">
      <alignment vertical="center" wrapText="1"/>
    </xf>
    <xf numFmtId="0" fontId="1" fillId="0" borderId="32" xfId="0" applyFont="1" applyBorder="1" applyAlignment="1">
      <alignment horizontal="left" vertical="top" wrapText="1"/>
    </xf>
    <xf numFmtId="0" fontId="1" fillId="0" borderId="40" xfId="0" applyFont="1" applyBorder="1" applyAlignment="1">
      <alignment vertical="center" wrapText="1"/>
    </xf>
    <xf numFmtId="0" fontId="1" fillId="0" borderId="7"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1" fillId="0" borderId="36" xfId="0" applyFont="1" applyBorder="1" applyAlignment="1">
      <alignment vertical="center" wrapText="1"/>
    </xf>
    <xf numFmtId="0" fontId="1" fillId="0" borderId="23" xfId="0" applyFont="1" applyBorder="1" applyAlignment="1">
      <alignment horizontal="left" vertical="center" wrapText="1"/>
    </xf>
    <xf numFmtId="0" fontId="1" fillId="0" borderId="24" xfId="0" applyFont="1" applyBorder="1" applyAlignment="1">
      <alignment horizontal="left" vertical="center" wrapText="1"/>
    </xf>
    <xf numFmtId="0" fontId="1" fillId="0" borderId="19" xfId="0" applyFont="1" applyBorder="1" applyAlignment="1">
      <alignment horizontal="left" vertical="center" wrapText="1"/>
    </xf>
    <xf numFmtId="0" fontId="8" fillId="2" borderId="6" xfId="0" applyFont="1" applyFill="1" applyBorder="1" applyAlignment="1">
      <alignment vertical="center" wrapText="1"/>
    </xf>
    <xf numFmtId="0" fontId="8" fillId="2" borderId="7" xfId="0" applyFont="1" applyFill="1" applyBorder="1" applyAlignment="1">
      <alignment vertical="center" wrapText="1"/>
    </xf>
    <xf numFmtId="0" fontId="7" fillId="2" borderId="16"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1" fillId="0" borderId="23" xfId="0" applyFont="1" applyBorder="1" applyAlignment="1">
      <alignment vertical="center" wrapText="1"/>
    </xf>
    <xf numFmtId="0" fontId="1" fillId="0" borderId="24" xfId="0" applyFont="1" applyBorder="1" applyAlignment="1">
      <alignment vertical="center" wrapText="1"/>
    </xf>
    <xf numFmtId="0" fontId="1" fillId="0" borderId="19" xfId="0" applyFont="1" applyBorder="1" applyAlignment="1">
      <alignment vertical="center" wrapText="1"/>
    </xf>
    <xf numFmtId="0" fontId="1" fillId="0" borderId="31" xfId="0" applyFont="1" applyBorder="1" applyAlignment="1">
      <alignment vertical="center" wrapText="1"/>
    </xf>
    <xf numFmtId="0" fontId="1" fillId="0" borderId="28" xfId="0" applyFont="1" applyBorder="1" applyAlignment="1">
      <alignment vertical="center" wrapText="1"/>
    </xf>
    <xf numFmtId="0" fontId="1" fillId="0" borderId="27" xfId="0" applyFont="1" applyBorder="1" applyAlignment="1">
      <alignment vertical="center" wrapText="1"/>
    </xf>
    <xf numFmtId="0" fontId="1" fillId="0" borderId="29" xfId="0" applyFont="1" applyBorder="1" applyAlignment="1">
      <alignment vertical="center" wrapText="1"/>
    </xf>
    <xf numFmtId="0" fontId="1" fillId="0" borderId="30" xfId="0" applyFont="1" applyBorder="1" applyAlignment="1">
      <alignment vertical="center" wrapText="1"/>
    </xf>
    <xf numFmtId="0" fontId="1" fillId="0" borderId="21" xfId="0" applyFont="1" applyBorder="1" applyAlignment="1">
      <alignment vertical="center" wrapText="1"/>
    </xf>
    <xf numFmtId="0" fontId="1" fillId="0" borderId="22" xfId="0" applyFont="1" applyBorder="1" applyAlignment="1">
      <alignment vertical="center" wrapText="1"/>
    </xf>
    <xf numFmtId="0" fontId="1" fillId="0" borderId="25" xfId="0" applyFont="1" applyBorder="1" applyAlignment="1">
      <alignment vertical="center" wrapText="1"/>
    </xf>
    <xf numFmtId="0" fontId="1" fillId="0" borderId="45" xfId="0" applyFont="1" applyBorder="1" applyAlignment="1">
      <alignment vertical="center" wrapText="1"/>
    </xf>
    <xf numFmtId="0" fontId="1" fillId="0" borderId="46" xfId="0" applyFont="1" applyBorder="1" applyAlignment="1">
      <alignment vertical="center" wrapText="1"/>
    </xf>
    <xf numFmtId="0" fontId="1" fillId="4" borderId="46" xfId="0" applyFont="1" applyFill="1" applyBorder="1" applyAlignment="1">
      <alignment vertical="center" wrapText="1"/>
    </xf>
    <xf numFmtId="0" fontId="1" fillId="4" borderId="11" xfId="0" applyFont="1" applyFill="1" applyBorder="1" applyAlignment="1">
      <alignment vertical="center" wrapText="1"/>
    </xf>
    <xf numFmtId="0" fontId="31" fillId="4" borderId="0" xfId="0" applyFont="1" applyFill="1" applyAlignment="1">
      <alignment horizontal="left" vertical="center"/>
    </xf>
    <xf numFmtId="0" fontId="0" fillId="0" borderId="0" xfId="0" applyAlignment="1">
      <alignment horizontal="left" wrapText="1"/>
    </xf>
  </cellXfs>
  <cellStyles count="3">
    <cellStyle name="Hyperlink" xfId="1" builtinId="8"/>
    <cellStyle name="Neutral" xfId="2" builtinId="28"/>
    <cellStyle name="Normal" xfId="0" builtinId="0"/>
  </cellStyles>
  <dxfs count="8">
    <dxf>
      <font>
        <color rgb="FF9C0006"/>
      </font>
      <fill>
        <patternFill>
          <bgColor rgb="FFFFC7CE"/>
        </patternFill>
      </fill>
    </dxf>
    <dxf>
      <font>
        <color rgb="FF9C5700"/>
      </font>
      <fill>
        <patternFill>
          <bgColor rgb="FFFFEB9C"/>
        </patternFill>
      </fill>
    </dxf>
    <dxf>
      <fill>
        <patternFill>
          <bgColor theme="5" tint="0.39994506668294322"/>
        </patternFill>
      </fill>
    </dxf>
    <dxf>
      <fill>
        <patternFill>
          <bgColor theme="5" tint="0.39994506668294322"/>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7F9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76801</xdr:colOff>
      <xdr:row>87</xdr:row>
      <xdr:rowOff>1203206</xdr:rowOff>
    </xdr:from>
    <xdr:to>
      <xdr:col>0</xdr:col>
      <xdr:colOff>1219801</xdr:colOff>
      <xdr:row>87</xdr:row>
      <xdr:rowOff>1596906</xdr:rowOff>
    </xdr:to>
    <xdr:pic>
      <xdr:nvPicPr>
        <xdr:cNvPr id="4" name="Graphic 5">
          <a:extLst>
            <a:ext uri="{FF2B5EF4-FFF2-40B4-BE49-F238E27FC236}">
              <a16:creationId xmlns:a16="http://schemas.microsoft.com/office/drawing/2014/main" id="{83177756-F755-5744-8E75-43E81EEC4C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6801" y="46335831"/>
          <a:ext cx="1143000" cy="393700"/>
        </a:xfrm>
        <a:prstGeom prst="rect">
          <a:avLst/>
        </a:prstGeom>
      </xdr:spPr>
    </xdr:pic>
    <xdr:clientData/>
  </xdr:twoCellAnchor>
  <xdr:twoCellAnchor editAs="oneCell">
    <xdr:from>
      <xdr:col>0</xdr:col>
      <xdr:colOff>55562</xdr:colOff>
      <xdr:row>87</xdr:row>
      <xdr:rowOff>468319</xdr:rowOff>
    </xdr:from>
    <xdr:to>
      <xdr:col>0</xdr:col>
      <xdr:colOff>2158864</xdr:colOff>
      <xdr:row>87</xdr:row>
      <xdr:rowOff>901173</xdr:rowOff>
    </xdr:to>
    <xdr:pic>
      <xdr:nvPicPr>
        <xdr:cNvPr id="5" name="Afbeelding 4">
          <a:extLst>
            <a:ext uri="{FF2B5EF4-FFF2-40B4-BE49-F238E27FC236}">
              <a16:creationId xmlns:a16="http://schemas.microsoft.com/office/drawing/2014/main" id="{C7A8A365-9BD0-8598-140A-1AEE594094CA}"/>
            </a:ext>
          </a:extLst>
        </xdr:cNvPr>
        <xdr:cNvPicPr>
          <a:picLocks noChangeAspect="1"/>
        </xdr:cNvPicPr>
      </xdr:nvPicPr>
      <xdr:blipFill>
        <a:blip xmlns:r="http://schemas.openxmlformats.org/officeDocument/2006/relationships" r:embed="rId3"/>
        <a:stretch>
          <a:fillRect/>
        </a:stretch>
      </xdr:blipFill>
      <xdr:spPr>
        <a:xfrm>
          <a:off x="55562" y="45600944"/>
          <a:ext cx="2103302" cy="4328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_Excluded%20From%20Backup%20&amp;%20Data%20Migration/Dropbox/IBD/Documenten/Baseline/baseline%20producten/02%20-%20Basis%20risicoanalyse%20methode%20gemeenten/02b%20-%20baselinetoets/Baselinetoets%20v082%20BIG.xlsx" TargetMode="External"/><Relationship Id="rId1" Type="http://schemas.openxmlformats.org/officeDocument/2006/relationships/externalLinkPath" Target="/_Excluded%20From%20Backup%20&amp;%20Data%20Migration/Dropbox/IBD/Documenten/Baseline/baseline%20producten/02%20-%20Basis%20risicoanalyse%20methode%20gemeenten/02b%20-%20baselinetoets/Baselinetoets%20v082%20BI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lgemeen"/>
      <sheetName val="Vragen"/>
      <sheetName val="Beschikbaarheid"/>
      <sheetName val="Integriteit"/>
      <sheetName val="Vertrouwelijkheid"/>
      <sheetName val="Privacy"/>
      <sheetName val="Resultaat"/>
      <sheetName val="waarderingstabellen"/>
      <sheetName val="kladblok"/>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6"/>
  <sheetViews>
    <sheetView zoomScaleNormal="100" workbookViewId="0">
      <selection activeCell="A88" sqref="A88"/>
    </sheetView>
  </sheetViews>
  <sheetFormatPr baseColWidth="10" defaultColWidth="8.83203125" defaultRowHeight="15" x14ac:dyDescent="0.2"/>
  <cols>
    <col min="1" max="1" width="97" style="19" customWidth="1"/>
    <col min="3" max="3" width="37.6640625" style="70" customWidth="1"/>
    <col min="4" max="4" width="46.33203125" style="19" customWidth="1"/>
  </cols>
  <sheetData>
    <row r="1" spans="1:2" ht="22" x14ac:dyDescent="0.25">
      <c r="A1" s="68" t="s">
        <v>0</v>
      </c>
    </row>
    <row r="2" spans="1:2" x14ac:dyDescent="0.2">
      <c r="A2" s="21"/>
    </row>
    <row r="3" spans="1:2" ht="30" customHeight="1" x14ac:dyDescent="0.2">
      <c r="A3" s="67" t="s">
        <v>1</v>
      </c>
      <c r="B3" s="71"/>
    </row>
    <row r="4" spans="1:2" x14ac:dyDescent="0.2">
      <c r="A4" s="74" t="s">
        <v>2</v>
      </c>
      <c r="B4" s="71"/>
    </row>
    <row r="5" spans="1:2" ht="90" customHeight="1" x14ac:dyDescent="0.2">
      <c r="A5" s="74" t="s">
        <v>3</v>
      </c>
      <c r="B5" s="71"/>
    </row>
    <row r="6" spans="1:2" ht="69" customHeight="1" x14ac:dyDescent="0.2">
      <c r="A6" s="74" t="s">
        <v>4</v>
      </c>
    </row>
    <row r="7" spans="1:2" ht="60" x14ac:dyDescent="0.2">
      <c r="A7" s="73" t="s">
        <v>5</v>
      </c>
    </row>
    <row r="8" spans="1:2" ht="45" x14ac:dyDescent="0.2">
      <c r="A8" s="73" t="s">
        <v>6</v>
      </c>
    </row>
    <row r="9" spans="1:2" x14ac:dyDescent="0.2">
      <c r="A9" s="74"/>
    </row>
    <row r="10" spans="1:2" ht="250" customHeight="1" x14ac:dyDescent="0.2">
      <c r="A10" s="74" t="s">
        <v>7</v>
      </c>
    </row>
    <row r="11" spans="1:2" ht="18" customHeight="1" x14ac:dyDescent="0.2">
      <c r="A11" s="74"/>
    </row>
    <row r="12" spans="1:2" ht="130.5" customHeight="1" x14ac:dyDescent="0.2">
      <c r="A12" s="74" t="s">
        <v>8</v>
      </c>
    </row>
    <row r="13" spans="1:2" x14ac:dyDescent="0.2">
      <c r="A13" s="74"/>
    </row>
    <row r="14" spans="1:2" x14ac:dyDescent="0.2">
      <c r="A14" s="74" t="s">
        <v>9</v>
      </c>
    </row>
    <row r="15" spans="1:2" ht="90" x14ac:dyDescent="0.2">
      <c r="A15" s="74" t="s">
        <v>10</v>
      </c>
    </row>
    <row r="16" spans="1:2" ht="30" customHeight="1" x14ac:dyDescent="0.2">
      <c r="A16" s="67" t="s">
        <v>11</v>
      </c>
    </row>
    <row r="17" spans="1:1" ht="45" x14ac:dyDescent="0.2">
      <c r="A17" s="74" t="s">
        <v>12</v>
      </c>
    </row>
    <row r="18" spans="1:1" ht="75" x14ac:dyDescent="0.2">
      <c r="A18" s="73" t="s">
        <v>13</v>
      </c>
    </row>
    <row r="19" spans="1:1" ht="96" customHeight="1" x14ac:dyDescent="0.2">
      <c r="A19" s="74" t="s">
        <v>14</v>
      </c>
    </row>
    <row r="20" spans="1:1" ht="30" customHeight="1" x14ac:dyDescent="0.2">
      <c r="A20" s="88" t="s">
        <v>15</v>
      </c>
    </row>
    <row r="21" spans="1:1" ht="44.25" customHeight="1" x14ac:dyDescent="0.2">
      <c r="A21" s="74" t="str">
        <f>_xlfn.TEXTJOIN(" - ",TRUE,"Beschikbaarheid: hoeveel en wanneer data toegankelijk is en gebruikt kan worden. 
De onderscheiden niveaus zijn: ",Beschikbaarheid!H4,Beschikbaarheid!G4,Beschikbaarheid!F4,Beschikbaarheid!E4,Beschikbaarheid!D4,)</f>
        <v>Beschikbaarheid: hoeveel en wanneer data toegankelijk is en gebruikt kan worden. 
De onderscheiden niveaus zijn:  - Verwaarloosbaar  - Gering - Gemiddeld - Kritiek/ Zeer ernstig - Catastrofaal</v>
      </c>
    </row>
    <row r="22" spans="1:1" ht="57" customHeight="1" x14ac:dyDescent="0.2">
      <c r="A22" s="69" t="str">
        <f>_xlfn.TEXTJOIN(" - ",TRUE,Beschikbaarheid!B31,Beschikbaarheid!C31)</f>
        <v>Verwaarloosbaar  - Wanneer gegevens of systemen met deze classificatie tijdelijk uitvallen, is dat vrijwel zonder gevolgen. Een dataverlies van een week of meer of een systeemuitval die oploopt tot meer dan een week kan zonder merkbare schade worden opgevangen. Kernactiviteiten blijven doorgaan, hooguit met lichte vertraging, en de informatie kan eenvoudig worden vervangen of hersteld. Voor burgers of bestuurders is er geen voelbare impact en de continuïteit van de organisatie komt niet in gevaar.</v>
      </c>
    </row>
    <row r="23" spans="1:1" ht="57.75" customHeight="1" x14ac:dyDescent="0.2">
      <c r="A23" s="69" t="str">
        <f>_xlfn.TEXTJOIN(" - ",TRUE,Beschikbaarheid!B30,Beschikbaarheid!C30)</f>
        <v>Gering - Bij dit niveau is er sprake van enige afhankelijkheid van de informatievoorziening, maar de gevolgen van verstoringen blijven overzichtelijk. Een dataverlies van maximaal 24 uur of een systeemuitval van maximaal 1 week kan leiden tot hinder in processen, maar de dienstverlening blijft grotendeels doorgaan. Herstel vraagt wel enige inspanning en planning, maar is goed uitvoerbaar. Voor burgers is er beperkte merkbare overlast en het vertrouwen in de organisatie blijft in stand.</v>
      </c>
    </row>
    <row r="24" spans="1:1" ht="60" x14ac:dyDescent="0.2">
      <c r="A24" s="69" t="str">
        <f>_xlfn.TEXTJOIN(" - ",TRUE,Beschikbaarheid!B29,Beschikbaarheid!C29)</f>
        <v>Gemiddeld - Wanneer de beschikbaarheid op dit niveau is geclassificeerd, zijn de gevolgen van uitval duidelijk merkbaar. Een dataverlies van 8 - 24 uur of een systeemuitval van maximaal 2 werkdagen heeft aanzienlijke invloed op kernactiviteiten en kan leiden tot klachten of verminderde dienstverlening. Het herstel van de informatie of systemen vergt aanzien redelijke inspanning en brengt extra kosten met zich mee. De maatschappelijke impact wordt zichtbaar, maar met voldoende inzet is herstel nog goed mogelijk.</v>
      </c>
    </row>
    <row r="25" spans="1:1" ht="60" x14ac:dyDescent="0.2">
      <c r="A25" s="69" t="str">
        <f>_xlfn.TEXTJOIN(" - ",TRUE,Beschikbaarheid!B28,Beschikbaarheid!C28)</f>
        <v>Kritiek/ Zeer ernstig - Op dit niveau betekent uitval dat de continuïteit van cruciale processen ernstig in gevaar komt. Een dataverlies van 4 tot 8 uur of een systeemuitval van maximaal 8 uur kan strategische processen stilleggen. De informatie is moeilijk te vervangen en het herstel vergt veel tijd, middelen en geld. De gevolgen worden breed gevoeld, zowel in de organisatie als daarbuiten, en kunnen leiden tot forse maatschappelijke ontwrichting en bestuurlijke druk.</v>
      </c>
    </row>
    <row r="26" spans="1:1" ht="60" x14ac:dyDescent="0.2">
      <c r="A26" s="69" t="str">
        <f>_xlfn.TEXTJOIN(" - ",TRUE,Beschikbaarheid!B27,Beschikbaarheid!C27)</f>
        <v>Catastrofaal - Deze classificatie is voor processen en gegevens waarbij geen uitval acceptabel is. Al een dataverlies van enkele uren of een systeemuitval van enkele uren kan leiden tot onherstelbare schade en bestuurlijke crisis. De informatie is onvervangbaar en de processen die ermee samenhangen zijn vitaal voor de samenleving. Continuïteit moet permanent worden gewaarborgd: near real-time beschikbaarheid is noodzakelijk. Uitval raakt direct de kern van de organisatie en kan het vertrouwen van burgers en bestuur onherstelbaar aantasten.</v>
      </c>
    </row>
    <row r="27" spans="1:1" ht="30" customHeight="1" x14ac:dyDescent="0.2">
      <c r="A27" s="88" t="s">
        <v>16</v>
      </c>
    </row>
    <row r="28" spans="1:1" ht="63" customHeight="1" x14ac:dyDescent="0.2">
      <c r="A28" s="73" t="str">
        <f>_xlfn.TEXTJOIN(" - ",TRUE,_xlfn._LONGTEXT("Integriteit: het in overeenstemming zijn van informatie met de werkelijkheid en dat niets ten onrechte is achtergehouden of verdwenen (juistheid, volledigheid en tijdigheid). In deze (data)classificatiemethode worden integriteit en authenticiteit gezamenl","ijk beoordeeld, omdat verlies van authenticiteit zich in de praktijk manifesteert als foutieve of misleidende informatie en dus dezelfde impactdimensies kent.
De onderscheiden niveaus zijn:"),Integriteit!H3,Integriteit!G3,Integriteit!F3,Integriteit!E3,Integriteit!D3)</f>
        <v>Integriteit: het in overeenstemming zijn van informatie met de werkelijkheid en dat niets ten onrechte is achtergehouden of verdwenen (juistheid, volledigheid en tijdigheid). In deze (data)classificatiemethode worden integriteit en authenticiteit gezamenlijk beoordeeld, omdat verlies van authenticiteit zich in de praktijk manifesteert als foutieve of misleidende informatie en dus dezelfde impactdimensies kent.
De onderscheiden niveaus zijn: - Verwaarloosbaar  - Gering - Gemiddeld - Kritiek/ Zeer ernstig - Catastrofaal</v>
      </c>
    </row>
    <row r="29" spans="1:1" ht="60" x14ac:dyDescent="0.2">
      <c r="A29" s="69" t="str">
        <f>_xlfn.TEXTJOIN(" - ",TRUE,Integriteit!B26,Integriteit!C26)</f>
        <v>Verwaarloosbaar  - Fouten of manipulaties in de informatie hebben geen merkbare gevolgen. Managementbeslissingen blijven correct, omdat de betrouwbaarheid van de gegevens niet wordt aangetast. Het risico op fraude is verwaarloosbaar en de processen blijven ongestoord functioneren. Het vertrouwen van burgers, ketenpartners en medewerkers blijft intact. Er zijn geen juridische consequenties of extra kosten te verwachten en het moreel van de medewerkers ondervindt geen enkele negatieve invloed.</v>
      </c>
    </row>
    <row r="30" spans="1:1" ht="60" x14ac:dyDescent="0.2">
      <c r="A30" s="69" t="str">
        <f>_xlfn.TEXTJOIN(" - ",TRUE,Integriteit!B25,Integriteit!C25)</f>
        <v>Gering - Fouten of manipulaties hebben beperkte gevolgen. Beslissingen kunnen incidenteel worden beïnvloed, maar niet op een manier die de organisatie langdurig schaadt. Het risico op fraude is aanwezig, maar beperkt in omvang. Processen ondervinden hooguit kortdurende hinder en het vertrouwen van burgers of ketenpartners wordt slechts licht geraakt. Juridische of financiële gevolgen zijn minimaal en eenvoudig op te vangen. Medewerkers merken weinig en herstel is relatief eenvoudig en snel uit te voeren.</v>
      </c>
    </row>
    <row r="31" spans="1:1" ht="65.5" customHeight="1" x14ac:dyDescent="0.2">
      <c r="A31" s="69" t="str">
        <f>_xlfn.TEXTJOIN(" - ",TRUE,Integriteit!B24,Integriteit!C24)</f>
        <v>Gemiddeld - Fouten of manipulaties hebben merkbare gevolgen. Managementbeslissingen kunnen duidelijk worden beïnvloed door onjuiste informatie, wat kan leiden tot verkeerd beleid of onjuiste keuzes. Het risico op fraude is significant en kernprocessen kunnen aanzienlijke vertraging oplopen. Burgers en ketenpartners verliezen merkbaar vertrouwen in de dienstverlening. Er zijn reële juridische risico’s en de extra kosten om te herstellen zijn aanzienlijk. Medewerkers ervaren een daling in motivatie doordat fouten en herstelwerk druk veroorzaken. Herstel is mogelijk, maar kostbaar en tijdsintensief.</v>
      </c>
    </row>
    <row r="32" spans="1:1" ht="75" x14ac:dyDescent="0.2">
      <c r="A32" s="69" t="str">
        <f>_xlfn.TEXTJOIN(" - ",TRUE,Integriteit!B23,Integriteit!C23)</f>
        <v>Kritiek/ Zeer ernstig - Fouten of manipulaties veroorzaken grote gevolgen. Beslissingen van management of bestuur worden sterk beïnvloed door verkeerde informatie, waardoor de koers van de organisatie ernstig kan ontsporen. Fraude is aannemelijk en kan omvangrijk zijn. Kernprocessen komen grotendeels stil te liggen en het vertrouwen van burgers en ketenpartners krijgt forse en blijvende schade. Juridische claims zijn waarschijnlijk en de bijkomende kosten lopen hoog op. Het moreel van medewerkers komt zwaar onder druk te staan. Herstel is zeer moeilijk en vergt langdurige inspanningen.</v>
      </c>
    </row>
    <row r="33" spans="1:1" ht="75" x14ac:dyDescent="0.2">
      <c r="A33" s="69" t="str">
        <f>_xlfn.TEXTJOIN(" - ",TRUE,Integriteit!B22,Integriteit!C22)</f>
        <v>Catastrofaal - Fouten of manipulaties leiden tot zeer zware gevolgen. Verkeerde of misleidende informatie veroorzaakt structurele fouten in management- en beleidsbeslissingen. Grootschalige fraude wordt mogelijk en strategische processen worden langdurig onderbroken of zelfs volledig lamgelegd. Het vertrouwen van burgers, partners en medewerkers gaat blijvend verloren. De organisatie wordt geconfronteerd met zware juridische aansprakelijkheid en extreme herstelkosten. Het moreel van medewerkers wordt ernstig geschaad, waardoor motivatie en loyaliteit verdwijnen. Herstel is nauwelijks nog mogelijk en de schade is grotendeels onomkeerbaar.</v>
      </c>
    </row>
    <row r="34" spans="1:1" ht="30" customHeight="1" x14ac:dyDescent="0.2">
      <c r="A34" s="92" t="s">
        <v>17</v>
      </c>
    </row>
    <row r="35" spans="1:1" ht="45" x14ac:dyDescent="0.2">
      <c r="A35" s="69" t="str">
        <f>_xlfn.TEXTJOIN(" - ",TRUE,"Vertrouwelijkheid: de bevoegdheden en de mogelijkheden tot muteren, kopiëren, toevoegen, vernietigen of kennisnemen van informatie voor een gedefinieerde groep van gerechtigden. 
De onderscheiden niveaus zijn: ",Vertrouwelijkheid!H3,Vertrouwelijkheid!G3,Vertrouwelijkheid!F3,Vertrouwelijkheid!E3,Vertrouwelijkheid!D3)</f>
        <v>Vertrouwelijkheid: de bevoegdheden en de mogelijkheden tot muteren, kopiëren, toevoegen, vernietigen of kennisnemen van informatie voor een gedefinieerde groep van gerechtigden. 
De onderscheiden niveaus zijn:  - Openbaar - Intern - Vertrouwelijk - Confidentieel - Geheim / Zeer Geheim</v>
      </c>
    </row>
    <row r="36" spans="1:1" ht="57" customHeight="1" x14ac:dyDescent="0.2">
      <c r="A36" s="69" t="str">
        <f>_xlfn.TEXTJOIN(" - ",TRUE,Vertrouwelijkheid!B29,Vertrouwelijkheid!C29)</f>
        <v>Openbaar - Het gaat hier om informatie die zonder risico gedeeld kan worden met iedereen. De gegevens zijn ongerubriceerd (hoeven niet als zodanig gemarkeerd te worden) en bedoeld voor openbaarheid, bijvoorbeeld op de gemeentelijke website of in een folder. Ongeautoriseerde kennisname is toegestaan en levert geen schade op. Er is dus geen noodzaak om deze informatie extra af te schermen of te beveiligen.
Het gaat hierbij om openbare gegevens. De gegevens hoeven niet afgeschermd te worden. Let wel op, deze gegevens kunnen nog steeds integer, authentiek en beschikbaar moeten zijn.</v>
      </c>
    </row>
    <row r="37" spans="1:1" ht="60" x14ac:dyDescent="0.2">
      <c r="A37" s="69" t="str">
        <f>_xlfn.TEXTJOIN(" - ",TRUE,Vertrouwelijkheid!B28,Vertrouwelijkheid!C28)</f>
        <v>Intern - Dit betreft informatie die binnen de organisatie moet blijven, maar waarvan de gevolgen van openbaarmaking nog beperkt zijn. Onbevoegde kennisname is ongewenst, omdat dit hinder kan veroorzaken of herstelwerk nodig maakt. De vertrouwelijkheid is hier vooral een praktische randvoorwaarde: er kan sprake zijn van lichte reputatieschade of interne verstoring, maar de gevolgen zijn doorgaans herstelbaar.</v>
      </c>
    </row>
    <row r="38" spans="1:1" ht="94" customHeight="1" x14ac:dyDescent="0.2">
      <c r="A38" s="69" t="str">
        <f>_xlfn.TEXTJOIN(" - ",TRUE,Vertrouwelijkheid!B27,Vertrouwelijkheid!C27)</f>
        <v>Vertrouwelijk - Bij dit niveau gaat het om informatie die gevoeliger is en waarbij de overheid weerstand tegen spionage en misbruik moet organiseren. Ongeautoriseerde openbaarmaking is schadelijk en moet zoveel mogelijk worden voorkomen. De gevolgen kunnen aanzienlijk zijn: reputatieschade, juridische claims en verstoring van de samenwerking met partners. Bij dit niveau wordt minimaal BIO2 toegepast, aangevuld met risicomanagement en waar nodig extra maatregelen tegen statelijke actoren, zoals monitoring, logging of leveranciersscreening. Dit is ook het niveau waarop de Dep.V-maatregelen uit Algemene Beveiligingseisen voor Defensieopdrachten (ABDO) of Algemene Beveiligingseisen voor Rijksoverheidsopdrachten (ABRO) relevant worden.</v>
      </c>
    </row>
    <row r="39" spans="1:1" ht="69" customHeight="1" x14ac:dyDescent="0.2">
      <c r="A39" s="69" t="str">
        <f>_xlfn.TEXTJOIN(" - ",TRUE,Vertrouwelijkheid!B26,Vertrouwelijkheid!C26)</f>
        <v xml:space="preserve">Confidentieel - Dit betreft informatie die van zo’n grote gevoeligheid is dat openbaarmaking ernstig schadelijk zou zijn. Ongeautoriseerde kennisname moet actief en strikt worden voorkomen. De gevolgen zijn groot: blijvende schade aan vertrouwen in de overheid, aanzienlijke juridische claims en hoge herstelkosten. Op dit niveau gelden altijd aanvullende beveiligingsregels uit Algemene Beveiligingseisen voor Defensieopdrachten (ABDO) of Algemene Beveiligingseisen voor Rijksoverheidsopdrachten (ABRO). BIO2 alleen is niet voldoende, omdat hier nationale veiligheid en staatsbelangen in het geding zijn. </v>
      </c>
    </row>
    <row r="40" spans="1:1" ht="100" customHeight="1" x14ac:dyDescent="0.2">
      <c r="A40" s="69" t="str">
        <f>_xlfn.TEXTJOIN(" - ",TRUE,Vertrouwelijkheid!B25,Vertrouwelijkheid!C25)</f>
        <v>Geheim / Zeer Geheim - Dit is de hoogste vertrouwelijkheidsklasse en geldt voor informatie waarvan openbaarmaking catastrofale gevolgen heeft voor de samenleving of de nationale veiligheid. Ongeautoriseerde kennisname is volledig onacceptabel. Het verlies van deze informatie zou vitale belangen direct in gevaar brengen en kan leiden tot ernstige maatschappelijke ontwrichting of crisis. Beveiliging op dit niveau is zeer zwaar en strikt gereguleerd volgens Algemene Beveiligingseisen voor Defensieopdrachten (ABDO) of Algemene Beveiligingseisen voor Rijksoverheidsopdrachten (ABRO), vaak in combinatie met intensief toezicht door bevoegde veiligheidsdiensten. Risicomanagement kan aanvullend worden toegepast, maar de primaire leidraad is dat geen enkel risico acceptabel is. Dit niveau komt bij gemeenten zeer waarschijnlijk niet voor.</v>
      </c>
    </row>
    <row r="41" spans="1:1" x14ac:dyDescent="0.2">
      <c r="A41" s="72"/>
    </row>
    <row r="42" spans="1:1" ht="45" x14ac:dyDescent="0.2">
      <c r="A42" s="74" t="s">
        <v>18</v>
      </c>
    </row>
    <row r="43" spans="1:1" ht="30" customHeight="1" x14ac:dyDescent="0.2">
      <c r="A43" s="67" t="s">
        <v>19</v>
      </c>
    </row>
    <row r="45" spans="1:1" ht="45" x14ac:dyDescent="0.2">
      <c r="A45" s="74" t="s">
        <v>20</v>
      </c>
    </row>
    <row r="46" spans="1:1" x14ac:dyDescent="0.2">
      <c r="A46" s="74" t="s">
        <v>21</v>
      </c>
    </row>
    <row r="47" spans="1:1" x14ac:dyDescent="0.2">
      <c r="A47" s="99" t="s">
        <v>22</v>
      </c>
    </row>
    <row r="48" spans="1:1" ht="30" x14ac:dyDescent="0.2">
      <c r="A48" s="73" t="s">
        <v>23</v>
      </c>
    </row>
    <row r="49" spans="1:1" x14ac:dyDescent="0.2">
      <c r="A49" s="99" t="s">
        <v>24</v>
      </c>
    </row>
    <row r="50" spans="1:1" ht="59.25" customHeight="1" x14ac:dyDescent="0.2">
      <c r="A50" s="73" t="s">
        <v>25</v>
      </c>
    </row>
    <row r="51" spans="1:1" x14ac:dyDescent="0.2">
      <c r="A51" s="99" t="s">
        <v>26</v>
      </c>
    </row>
    <row r="52" spans="1:1" ht="45" x14ac:dyDescent="0.2">
      <c r="A52" s="73" t="s">
        <v>27</v>
      </c>
    </row>
    <row r="53" spans="1:1" x14ac:dyDescent="0.2">
      <c r="A53" s="99" t="s">
        <v>28</v>
      </c>
    </row>
    <row r="54" spans="1:1" ht="30" x14ac:dyDescent="0.2">
      <c r="A54" s="73" t="s">
        <v>29</v>
      </c>
    </row>
    <row r="55" spans="1:1" x14ac:dyDescent="0.2">
      <c r="A55" s="99" t="s">
        <v>30</v>
      </c>
    </row>
    <row r="56" spans="1:1" ht="30" x14ac:dyDescent="0.2">
      <c r="A56" s="73" t="s">
        <v>31</v>
      </c>
    </row>
    <row r="57" spans="1:1" x14ac:dyDescent="0.2">
      <c r="A57" s="99" t="s">
        <v>32</v>
      </c>
    </row>
    <row r="58" spans="1:1" ht="30" x14ac:dyDescent="0.2">
      <c r="A58" s="73" t="s">
        <v>33</v>
      </c>
    </row>
    <row r="59" spans="1:1" x14ac:dyDescent="0.2">
      <c r="A59" s="99" t="s">
        <v>34</v>
      </c>
    </row>
    <row r="60" spans="1:1" ht="30" x14ac:dyDescent="0.2">
      <c r="A60" s="73" t="s">
        <v>35</v>
      </c>
    </row>
    <row r="61" spans="1:1" x14ac:dyDescent="0.2">
      <c r="A61" s="99" t="s">
        <v>36</v>
      </c>
    </row>
    <row r="62" spans="1:1" ht="45" x14ac:dyDescent="0.2">
      <c r="A62" s="73" t="s">
        <v>37</v>
      </c>
    </row>
    <row r="63" spans="1:1" x14ac:dyDescent="0.2">
      <c r="A63" s="99" t="s">
        <v>38</v>
      </c>
    </row>
    <row r="64" spans="1:1" ht="30" x14ac:dyDescent="0.2">
      <c r="A64" s="73" t="s">
        <v>39</v>
      </c>
    </row>
    <row r="65" spans="1:1" x14ac:dyDescent="0.2">
      <c r="A65" s="99" t="s">
        <v>40</v>
      </c>
    </row>
    <row r="66" spans="1:1" ht="30" customHeight="1" x14ac:dyDescent="0.2">
      <c r="A66" s="73" t="s">
        <v>41</v>
      </c>
    </row>
    <row r="67" spans="1:1" x14ac:dyDescent="0.2">
      <c r="A67" s="73"/>
    </row>
    <row r="68" spans="1:1" x14ac:dyDescent="0.2">
      <c r="A68" s="99" t="s">
        <v>42</v>
      </c>
    </row>
    <row r="69" spans="1:1" ht="30" x14ac:dyDescent="0.2">
      <c r="A69" s="69" t="s">
        <v>43</v>
      </c>
    </row>
    <row r="70" spans="1:1" ht="27" customHeight="1" x14ac:dyDescent="0.2">
      <c r="A70" s="69" t="s">
        <v>44</v>
      </c>
    </row>
    <row r="71" spans="1:1" ht="40" customHeight="1" x14ac:dyDescent="0.2">
      <c r="A71" s="69" t="s">
        <v>45</v>
      </c>
    </row>
    <row r="72" spans="1:1" ht="27" customHeight="1" x14ac:dyDescent="0.2">
      <c r="A72" s="69" t="s">
        <v>46</v>
      </c>
    </row>
    <row r="73" spans="1:1" ht="75" x14ac:dyDescent="0.2">
      <c r="A73" s="69" t="s">
        <v>47</v>
      </c>
    </row>
    <row r="74" spans="1:1" x14ac:dyDescent="0.2">
      <c r="A74" s="73"/>
    </row>
    <row r="75" spans="1:1" ht="32.25" customHeight="1" x14ac:dyDescent="0.2">
      <c r="A75" s="73" t="s">
        <v>48</v>
      </c>
    </row>
    <row r="76" spans="1:1" ht="30" customHeight="1" x14ac:dyDescent="0.2">
      <c r="A76" s="67" t="s">
        <v>49</v>
      </c>
    </row>
    <row r="77" spans="1:1" ht="90" x14ac:dyDescent="0.2">
      <c r="A77" s="73" t="s">
        <v>50</v>
      </c>
    </row>
    <row r="78" spans="1:1" ht="60" x14ac:dyDescent="0.2">
      <c r="A78" s="73" t="s">
        <v>51</v>
      </c>
    </row>
    <row r="79" spans="1:1" ht="45" x14ac:dyDescent="0.2">
      <c r="A79" s="73" t="s">
        <v>52</v>
      </c>
    </row>
    <row r="80" spans="1:1" ht="45" x14ac:dyDescent="0.2">
      <c r="A80" s="73" t="s">
        <v>53</v>
      </c>
    </row>
    <row r="81" spans="1:2" ht="45" x14ac:dyDescent="0.2">
      <c r="A81" s="73" t="s">
        <v>54</v>
      </c>
    </row>
    <row r="82" spans="1:2" ht="30" x14ac:dyDescent="0.2">
      <c r="A82" s="73" t="s">
        <v>55</v>
      </c>
    </row>
    <row r="83" spans="1:2" x14ac:dyDescent="0.2">
      <c r="A83" s="73"/>
    </row>
    <row r="84" spans="1:2" x14ac:dyDescent="0.2">
      <c r="A84" s="99" t="s">
        <v>56</v>
      </c>
    </row>
    <row r="85" spans="1:2" ht="61" customHeight="1" x14ac:dyDescent="0.2">
      <c r="A85" s="73" t="s">
        <v>57</v>
      </c>
    </row>
    <row r="86" spans="1:2" ht="30" customHeight="1" x14ac:dyDescent="0.2">
      <c r="A86" s="67" t="s">
        <v>58</v>
      </c>
    </row>
    <row r="87" spans="1:2" ht="96" x14ac:dyDescent="0.2">
      <c r="A87" s="19" t="s">
        <v>59</v>
      </c>
      <c r="B87" s="71"/>
    </row>
    <row r="88" spans="1:2" ht="391.5" customHeight="1" x14ac:dyDescent="0.2">
      <c r="A88" s="19" t="s">
        <v>60</v>
      </c>
      <c r="B88" s="71"/>
    </row>
    <row r="89" spans="1:2" ht="80" x14ac:dyDescent="0.2">
      <c r="A89" s="19" t="s">
        <v>61</v>
      </c>
      <c r="B89" s="71"/>
    </row>
    <row r="90" spans="1:2" ht="32" x14ac:dyDescent="0.2">
      <c r="A90" s="19" t="s">
        <v>62</v>
      </c>
      <c r="B90" s="71"/>
    </row>
    <row r="91" spans="1:2" ht="160" x14ac:dyDescent="0.2">
      <c r="A91" s="19" t="s">
        <v>63</v>
      </c>
      <c r="B91" s="71"/>
    </row>
    <row r="92" spans="1:2" x14ac:dyDescent="0.2">
      <c r="B92" s="71"/>
    </row>
    <row r="93" spans="1:2" x14ac:dyDescent="0.2">
      <c r="B93" s="71"/>
    </row>
    <row r="94" spans="1:2" ht="96" x14ac:dyDescent="0.2">
      <c r="A94" s="19" t="s">
        <v>64</v>
      </c>
      <c r="B94" s="71"/>
    </row>
    <row r="95" spans="1:2" x14ac:dyDescent="0.2">
      <c r="B95" s="71"/>
    </row>
    <row r="96" spans="1:2" x14ac:dyDescent="0.2">
      <c r="B96" s="7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77"/>
  <sheetViews>
    <sheetView topLeftCell="A22" zoomScale="145" zoomScaleNormal="145" workbookViewId="0">
      <selection activeCell="B54" sqref="B54"/>
    </sheetView>
  </sheetViews>
  <sheetFormatPr baseColWidth="10" defaultColWidth="8.83203125" defaultRowHeight="15" x14ac:dyDescent="0.2"/>
  <cols>
    <col min="1" max="1" width="7.1640625" style="14" customWidth="1"/>
    <col min="2" max="2" width="85.83203125" style="19" customWidth="1"/>
  </cols>
  <sheetData>
    <row r="1" spans="1:7" x14ac:dyDescent="0.2">
      <c r="A1" s="14" t="s">
        <v>65</v>
      </c>
    </row>
    <row r="3" spans="1:7" ht="16" x14ac:dyDescent="0.2">
      <c r="A3" s="14" t="s">
        <v>66</v>
      </c>
      <c r="B3" s="21" t="s">
        <v>67</v>
      </c>
      <c r="D3" s="93" t="s">
        <v>68</v>
      </c>
      <c r="E3" s="80"/>
      <c r="F3" s="80"/>
      <c r="G3" s="80"/>
    </row>
    <row r="4" spans="1:7" ht="16" x14ac:dyDescent="0.2">
      <c r="B4" s="19" t="s">
        <v>69</v>
      </c>
    </row>
    <row r="5" spans="1:7" ht="16" x14ac:dyDescent="0.2">
      <c r="B5" s="83" t="s">
        <v>70</v>
      </c>
    </row>
    <row r="7" spans="1:7" ht="16" x14ac:dyDescent="0.2">
      <c r="B7" s="19" t="s">
        <v>71</v>
      </c>
    </row>
    <row r="8" spans="1:7" ht="16" x14ac:dyDescent="0.2">
      <c r="B8" s="83" t="s">
        <v>72</v>
      </c>
    </row>
    <row r="10" spans="1:7" ht="16" x14ac:dyDescent="0.2">
      <c r="B10" s="19" t="s">
        <v>73</v>
      </c>
    </row>
    <row r="11" spans="1:7" ht="16" x14ac:dyDescent="0.2">
      <c r="B11" s="83" t="s">
        <v>74</v>
      </c>
    </row>
    <row r="13" spans="1:7" ht="16" x14ac:dyDescent="0.2">
      <c r="B13" s="19" t="s">
        <v>75</v>
      </c>
    </row>
    <row r="14" spans="1:7" ht="16" x14ac:dyDescent="0.2">
      <c r="B14" s="83" t="s">
        <v>76</v>
      </c>
    </row>
    <row r="16" spans="1:7" ht="16" x14ac:dyDescent="0.2">
      <c r="B16" s="19" t="s">
        <v>77</v>
      </c>
    </row>
    <row r="17" spans="1:2" ht="16" x14ac:dyDescent="0.2">
      <c r="B17" s="83" t="s">
        <v>78</v>
      </c>
    </row>
    <row r="20" spans="1:2" ht="16" x14ac:dyDescent="0.2">
      <c r="A20" s="14" t="s">
        <v>79</v>
      </c>
      <c r="B20" s="21" t="s">
        <v>80</v>
      </c>
    </row>
    <row r="21" spans="1:2" x14ac:dyDescent="0.2">
      <c r="B21" s="31"/>
    </row>
    <row r="23" spans="1:2" ht="16" x14ac:dyDescent="0.2">
      <c r="A23" s="14" t="s">
        <v>81</v>
      </c>
      <c r="B23" s="21" t="s">
        <v>82</v>
      </c>
    </row>
    <row r="24" spans="1:2" ht="26" x14ac:dyDescent="0.2">
      <c r="B24" s="84" t="s">
        <v>83</v>
      </c>
    </row>
    <row r="27" spans="1:2" ht="16" x14ac:dyDescent="0.2">
      <c r="A27" s="14" t="s">
        <v>84</v>
      </c>
      <c r="B27" s="21" t="s">
        <v>85</v>
      </c>
    </row>
    <row r="28" spans="1:2" ht="26" x14ac:dyDescent="0.2">
      <c r="B28" s="84" t="s">
        <v>86</v>
      </c>
    </row>
    <row r="31" spans="1:2" ht="16" x14ac:dyDescent="0.2">
      <c r="A31" s="14" t="s">
        <v>87</v>
      </c>
      <c r="B31" s="21" t="s">
        <v>88</v>
      </c>
    </row>
    <row r="33" spans="1:2" ht="16" x14ac:dyDescent="0.2">
      <c r="A33" s="14" t="s">
        <v>89</v>
      </c>
      <c r="B33" s="21" t="s">
        <v>90</v>
      </c>
    </row>
    <row r="34" spans="1:2" ht="32" x14ac:dyDescent="0.2">
      <c r="B34" s="83" t="s">
        <v>91</v>
      </c>
    </row>
    <row r="37" spans="1:2" ht="16" x14ac:dyDescent="0.2">
      <c r="A37" s="14" t="s">
        <v>92</v>
      </c>
      <c r="B37" s="21" t="s">
        <v>93</v>
      </c>
    </row>
    <row r="38" spans="1:2" ht="16" x14ac:dyDescent="0.2">
      <c r="B38" s="83" t="s">
        <v>94</v>
      </c>
    </row>
    <row r="41" spans="1:2" ht="32" x14ac:dyDescent="0.2">
      <c r="A41" s="14" t="s">
        <v>95</v>
      </c>
      <c r="B41" s="21" t="s">
        <v>96</v>
      </c>
    </row>
    <row r="42" spans="1:2" ht="52" x14ac:dyDescent="0.2">
      <c r="B42" s="85" t="s">
        <v>97</v>
      </c>
    </row>
    <row r="43" spans="1:2" x14ac:dyDescent="0.2">
      <c r="B43" s="15"/>
    </row>
    <row r="44" spans="1:2" x14ac:dyDescent="0.2">
      <c r="B44" s="15"/>
    </row>
    <row r="45" spans="1:2" ht="26" x14ac:dyDescent="0.2">
      <c r="A45" s="14" t="s">
        <v>98</v>
      </c>
      <c r="B45" s="17" t="s">
        <v>99</v>
      </c>
    </row>
    <row r="46" spans="1:2" ht="80" x14ac:dyDescent="0.2">
      <c r="B46" s="31" t="s">
        <v>100</v>
      </c>
    </row>
    <row r="49" spans="1:2" ht="32" x14ac:dyDescent="0.2">
      <c r="A49" s="14" t="s">
        <v>101</v>
      </c>
      <c r="B49" s="21" t="s">
        <v>102</v>
      </c>
    </row>
    <row r="50" spans="1:2" x14ac:dyDescent="0.2">
      <c r="B50" s="31"/>
    </row>
    <row r="53" spans="1:2" ht="32" x14ac:dyDescent="0.2">
      <c r="A53" s="14" t="s">
        <v>103</v>
      </c>
      <c r="B53" s="21" t="s">
        <v>104</v>
      </c>
    </row>
    <row r="54" spans="1:2" ht="208" x14ac:dyDescent="0.2">
      <c r="B54" s="31" t="s">
        <v>105</v>
      </c>
    </row>
    <row r="58" spans="1:2" ht="32" x14ac:dyDescent="0.2">
      <c r="A58" s="14" t="s">
        <v>106</v>
      </c>
      <c r="B58" s="21" t="s">
        <v>107</v>
      </c>
    </row>
    <row r="59" spans="1:2" x14ac:dyDescent="0.2">
      <c r="B59" s="31"/>
    </row>
    <row r="63" spans="1:2" ht="32" x14ac:dyDescent="0.2">
      <c r="A63" s="14" t="s">
        <v>108</v>
      </c>
      <c r="B63" s="21" t="s">
        <v>109</v>
      </c>
    </row>
    <row r="64" spans="1:2" x14ac:dyDescent="0.2">
      <c r="B64" s="31"/>
    </row>
    <row r="68" spans="1:2" ht="32" x14ac:dyDescent="0.2">
      <c r="A68" s="14" t="s">
        <v>110</v>
      </c>
      <c r="B68" s="21" t="s">
        <v>111</v>
      </c>
    </row>
    <row r="69" spans="1:2" ht="144" x14ac:dyDescent="0.2">
      <c r="B69" s="31" t="s">
        <v>112</v>
      </c>
    </row>
    <row r="72" spans="1:2" x14ac:dyDescent="0.2">
      <c r="A72" s="14" t="s">
        <v>113</v>
      </c>
      <c r="B72" s="22" t="s">
        <v>114</v>
      </c>
    </row>
    <row r="73" spans="1:2" x14ac:dyDescent="0.2">
      <c r="B73" s="31"/>
    </row>
    <row r="76" spans="1:2" ht="16" x14ac:dyDescent="0.2">
      <c r="A76" s="14" t="s">
        <v>115</v>
      </c>
      <c r="B76" s="21" t="s">
        <v>116</v>
      </c>
    </row>
    <row r="77" spans="1:2" ht="16" x14ac:dyDescent="0.2">
      <c r="B77" s="31" t="s">
        <v>117</v>
      </c>
    </row>
  </sheetData>
  <pageMargins left="0.70866141732283505" right="0.70866141732283505" top="0.74803149606299202" bottom="0.74803149606299202" header="0.31496062992126" footer="0.31496062992126"/>
  <pageSetup paperSize="9" scale="94" fitToHeight="0" orientation="portrait" r:id="rId1"/>
  <headerFooter>
    <oddFooter>Pagina &amp;P&amp;R20201222 dataclassificatie toets BIO 1.2.xlsx</oddFooter>
  </headerFooter>
  <rowBreaks count="1" manualBreakCount="1">
    <brk id="52"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B1:K34"/>
  <sheetViews>
    <sheetView zoomScaleNormal="100" workbookViewId="0">
      <selection activeCell="D20" sqref="D20"/>
    </sheetView>
  </sheetViews>
  <sheetFormatPr baseColWidth="10" defaultColWidth="10" defaultRowHeight="15" x14ac:dyDescent="0.2"/>
  <cols>
    <col min="1" max="1" width="2.6640625" customWidth="1"/>
    <col min="3" max="3" width="39.6640625" customWidth="1"/>
    <col min="4" max="4" width="12" customWidth="1"/>
    <col min="5" max="5" width="10.5" customWidth="1"/>
    <col min="6" max="6" width="11.5" customWidth="1"/>
    <col min="7" max="7" width="10" customWidth="1"/>
    <col min="8" max="8" width="11.1640625" customWidth="1"/>
    <col min="9" max="9" width="43.6640625" customWidth="1"/>
    <col min="11" max="11" width="58.1640625" customWidth="1"/>
  </cols>
  <sheetData>
    <row r="1" spans="2:11" ht="22" thickBot="1" x14ac:dyDescent="0.3">
      <c r="B1" s="18" t="s">
        <v>118</v>
      </c>
      <c r="K1" s="21" t="s">
        <v>119</v>
      </c>
    </row>
    <row r="2" spans="2:11" ht="27.75" customHeight="1" thickTop="1" thickBot="1" x14ac:dyDescent="0.25">
      <c r="B2" s="123" t="s">
        <v>120</v>
      </c>
      <c r="C2" s="124"/>
      <c r="D2" s="86"/>
      <c r="E2" s="127" t="s">
        <v>121</v>
      </c>
      <c r="F2" s="128"/>
      <c r="G2" s="128"/>
      <c r="H2" s="56"/>
      <c r="I2" s="1" t="s">
        <v>122</v>
      </c>
      <c r="K2" s="94" t="s">
        <v>68</v>
      </c>
    </row>
    <row r="3" spans="2:11" ht="29.25" customHeight="1" thickTop="1" thickBot="1" x14ac:dyDescent="0.25">
      <c r="B3" s="125" t="s">
        <v>123</v>
      </c>
      <c r="C3" s="126"/>
      <c r="D3" s="87"/>
      <c r="E3" s="129" t="s">
        <v>124</v>
      </c>
      <c r="F3" s="130"/>
      <c r="G3" s="130"/>
      <c r="H3" s="57"/>
      <c r="I3" s="2" t="s">
        <v>125</v>
      </c>
    </row>
    <row r="4" spans="2:11" ht="39" customHeight="1" thickBot="1" x14ac:dyDescent="0.25">
      <c r="B4" s="131"/>
      <c r="C4" s="132"/>
      <c r="D4" s="42" t="s">
        <v>126</v>
      </c>
      <c r="E4" s="42" t="s">
        <v>127</v>
      </c>
      <c r="F4" s="42" t="s">
        <v>128</v>
      </c>
      <c r="G4" s="42" t="s">
        <v>129</v>
      </c>
      <c r="H4" s="63" t="s">
        <v>130</v>
      </c>
      <c r="I4" s="64"/>
    </row>
    <row r="5" spans="2:11" ht="21" customHeight="1" x14ac:dyDescent="0.2">
      <c r="B5" s="104" t="s">
        <v>131</v>
      </c>
      <c r="C5" s="5" t="s">
        <v>132</v>
      </c>
      <c r="D5" s="55" t="s">
        <v>133</v>
      </c>
      <c r="E5" s="55" t="s">
        <v>134</v>
      </c>
      <c r="F5" s="55" t="s">
        <v>135</v>
      </c>
      <c r="G5" s="55" t="s">
        <v>136</v>
      </c>
      <c r="H5" s="59" t="s">
        <v>137</v>
      </c>
      <c r="I5" s="133" t="s">
        <v>138</v>
      </c>
    </row>
    <row r="6" spans="2:11" ht="52" customHeight="1" thickBot="1" x14ac:dyDescent="0.25">
      <c r="B6" s="105"/>
      <c r="C6" s="3" t="s">
        <v>139</v>
      </c>
      <c r="D6" s="16">
        <v>0</v>
      </c>
      <c r="E6" s="16">
        <v>0</v>
      </c>
      <c r="F6" s="16">
        <v>0</v>
      </c>
      <c r="G6" s="16">
        <v>0</v>
      </c>
      <c r="H6" s="60">
        <v>0</v>
      </c>
      <c r="I6" s="134"/>
      <c r="J6" s="53"/>
      <c r="K6" s="19"/>
    </row>
    <row r="7" spans="2:11" ht="26.25" customHeight="1" x14ac:dyDescent="0.2">
      <c r="B7" s="104" t="s">
        <v>140</v>
      </c>
      <c r="C7" s="5" t="s">
        <v>141</v>
      </c>
      <c r="D7" s="55" t="s">
        <v>133</v>
      </c>
      <c r="E7" s="55" t="s">
        <v>134</v>
      </c>
      <c r="F7" s="55" t="s">
        <v>135</v>
      </c>
      <c r="G7" s="55" t="s">
        <v>136</v>
      </c>
      <c r="H7" s="59" t="s">
        <v>137</v>
      </c>
      <c r="I7" s="106"/>
      <c r="K7" s="19"/>
    </row>
    <row r="8" spans="2:11" ht="48" x14ac:dyDescent="0.2">
      <c r="B8" s="105"/>
      <c r="C8" s="3" t="s">
        <v>142</v>
      </c>
      <c r="D8" s="16">
        <v>0</v>
      </c>
      <c r="E8" s="16">
        <v>0</v>
      </c>
      <c r="F8" s="16">
        <v>0</v>
      </c>
      <c r="G8" s="16">
        <v>0</v>
      </c>
      <c r="H8" s="60">
        <v>0</v>
      </c>
      <c r="I8" s="107"/>
      <c r="K8" s="19" t="s">
        <v>143</v>
      </c>
    </row>
    <row r="9" spans="2:11" ht="52" x14ac:dyDescent="0.2">
      <c r="B9" s="104" t="s">
        <v>144</v>
      </c>
      <c r="C9" s="5" t="s">
        <v>145</v>
      </c>
      <c r="D9" s="55" t="s">
        <v>146</v>
      </c>
      <c r="E9" s="55" t="s">
        <v>147</v>
      </c>
      <c r="F9" s="55" t="s">
        <v>148</v>
      </c>
      <c r="G9" s="55" t="s">
        <v>149</v>
      </c>
      <c r="H9" s="61" t="s">
        <v>150</v>
      </c>
      <c r="I9" s="28" t="s">
        <v>151</v>
      </c>
      <c r="K9" s="19" t="s">
        <v>152</v>
      </c>
    </row>
    <row r="10" spans="2:11" ht="61.5" customHeight="1" thickBot="1" x14ac:dyDescent="0.25">
      <c r="B10" s="108"/>
      <c r="C10" s="6" t="s">
        <v>153</v>
      </c>
      <c r="D10" s="16">
        <v>0</v>
      </c>
      <c r="E10" s="16">
        <v>0</v>
      </c>
      <c r="F10" s="16">
        <v>0</v>
      </c>
      <c r="G10" s="16">
        <v>0</v>
      </c>
      <c r="H10" s="16">
        <v>0</v>
      </c>
      <c r="I10" s="30" t="s">
        <v>154</v>
      </c>
      <c r="K10" s="19"/>
    </row>
    <row r="11" spans="2:11" ht="23.25" customHeight="1" x14ac:dyDescent="0.2">
      <c r="B11" s="108"/>
      <c r="C11" s="7"/>
      <c r="D11" s="43"/>
      <c r="E11" s="43"/>
      <c r="F11" s="45"/>
      <c r="G11" s="45"/>
      <c r="H11" s="43"/>
      <c r="I11" s="30" t="s">
        <v>155</v>
      </c>
    </row>
    <row r="12" spans="2:11" ht="26.25" customHeight="1" thickBot="1" x14ac:dyDescent="0.25">
      <c r="B12" s="105"/>
      <c r="C12" s="8"/>
      <c r="D12" s="44"/>
      <c r="E12" s="44"/>
      <c r="F12" s="44"/>
      <c r="G12" s="44"/>
      <c r="H12" s="62"/>
      <c r="I12" s="29" t="s">
        <v>156</v>
      </c>
      <c r="K12" s="19"/>
    </row>
    <row r="13" spans="2:11" ht="24" x14ac:dyDescent="0.2">
      <c r="B13" s="104" t="s">
        <v>157</v>
      </c>
      <c r="C13" s="5" t="s">
        <v>158</v>
      </c>
      <c r="D13" s="55" t="s">
        <v>134</v>
      </c>
      <c r="E13" s="55" t="s">
        <v>134</v>
      </c>
      <c r="F13" s="55" t="s">
        <v>135</v>
      </c>
      <c r="G13" s="55" t="s">
        <v>136</v>
      </c>
      <c r="H13" s="59" t="s">
        <v>137</v>
      </c>
      <c r="I13" s="106"/>
      <c r="K13" s="122" t="s">
        <v>159</v>
      </c>
    </row>
    <row r="14" spans="2:11" ht="48" customHeight="1" thickBot="1" x14ac:dyDescent="0.25">
      <c r="B14" s="105"/>
      <c r="C14" s="3" t="s">
        <v>160</v>
      </c>
      <c r="D14" s="16">
        <v>0</v>
      </c>
      <c r="E14" s="16">
        <v>0</v>
      </c>
      <c r="F14" s="16">
        <v>0</v>
      </c>
      <c r="G14" s="16">
        <v>0</v>
      </c>
      <c r="H14" s="60">
        <v>0</v>
      </c>
      <c r="I14" s="107"/>
      <c r="K14" s="122"/>
    </row>
    <row r="15" spans="2:11" ht="24" x14ac:dyDescent="0.2">
      <c r="B15" s="104" t="s">
        <v>161</v>
      </c>
      <c r="C15" s="5" t="s">
        <v>162</v>
      </c>
      <c r="D15" s="55" t="s">
        <v>134</v>
      </c>
      <c r="E15" s="55" t="s">
        <v>134</v>
      </c>
      <c r="F15" s="55" t="s">
        <v>135</v>
      </c>
      <c r="G15" s="55" t="s">
        <v>136</v>
      </c>
      <c r="H15" s="59" t="s">
        <v>137</v>
      </c>
      <c r="I15" s="106"/>
      <c r="K15" s="122" t="s">
        <v>163</v>
      </c>
    </row>
    <row r="16" spans="2:11" ht="39" x14ac:dyDescent="0.2">
      <c r="B16" s="105"/>
      <c r="C16" s="3" t="s">
        <v>164</v>
      </c>
      <c r="D16" s="16">
        <v>0</v>
      </c>
      <c r="E16" s="16">
        <v>0</v>
      </c>
      <c r="F16" s="16">
        <v>0</v>
      </c>
      <c r="G16" s="16">
        <v>0</v>
      </c>
      <c r="H16" s="60">
        <v>0</v>
      </c>
      <c r="I16" s="107"/>
      <c r="K16" s="122"/>
    </row>
    <row r="17" spans="2:11" ht="24" x14ac:dyDescent="0.2">
      <c r="B17" s="104" t="s">
        <v>165</v>
      </c>
      <c r="C17" s="5" t="s">
        <v>166</v>
      </c>
      <c r="D17" s="55" t="s">
        <v>133</v>
      </c>
      <c r="E17" s="55" t="s">
        <v>134</v>
      </c>
      <c r="F17" s="55" t="s">
        <v>135</v>
      </c>
      <c r="G17" s="55" t="s">
        <v>136</v>
      </c>
      <c r="H17" s="59" t="s">
        <v>137</v>
      </c>
      <c r="I17" s="106"/>
      <c r="K17" s="122" t="s">
        <v>167</v>
      </c>
    </row>
    <row r="18" spans="2:11" ht="52" x14ac:dyDescent="0.2">
      <c r="B18" s="105"/>
      <c r="C18" s="3" t="s">
        <v>168</v>
      </c>
      <c r="D18" s="16">
        <v>0</v>
      </c>
      <c r="E18" s="16">
        <v>0</v>
      </c>
      <c r="F18" s="16">
        <v>0</v>
      </c>
      <c r="G18" s="16">
        <v>0</v>
      </c>
      <c r="H18" s="60">
        <v>0</v>
      </c>
      <c r="I18" s="107"/>
      <c r="K18" s="122"/>
    </row>
    <row r="19" spans="2:11" ht="52" x14ac:dyDescent="0.2">
      <c r="B19" s="104" t="s">
        <v>169</v>
      </c>
      <c r="C19" s="5" t="s">
        <v>170</v>
      </c>
      <c r="D19" s="55" t="s">
        <v>171</v>
      </c>
      <c r="E19" s="55" t="s">
        <v>172</v>
      </c>
      <c r="F19" s="55" t="s">
        <v>173</v>
      </c>
      <c r="G19" s="55" t="s">
        <v>174</v>
      </c>
      <c r="H19" s="61" t="s">
        <v>175</v>
      </c>
      <c r="I19" s="28" t="s">
        <v>151</v>
      </c>
      <c r="K19" s="19"/>
    </row>
    <row r="20" spans="2:11" ht="89.25" customHeight="1" thickBot="1" x14ac:dyDescent="0.25">
      <c r="B20" s="108"/>
      <c r="C20" s="6" t="s">
        <v>176</v>
      </c>
      <c r="D20" s="16">
        <v>0</v>
      </c>
      <c r="E20" s="16">
        <v>0</v>
      </c>
      <c r="F20" s="16">
        <v>0</v>
      </c>
      <c r="G20" s="16">
        <v>0</v>
      </c>
      <c r="H20" s="54">
        <v>0</v>
      </c>
      <c r="I20" s="30" t="s">
        <v>177</v>
      </c>
      <c r="K20" s="19"/>
    </row>
    <row r="21" spans="2:11" ht="26" x14ac:dyDescent="0.2">
      <c r="B21" s="108"/>
      <c r="C21" s="7"/>
      <c r="D21" s="45"/>
      <c r="E21" s="45"/>
      <c r="F21" s="45"/>
      <c r="G21" s="45"/>
      <c r="H21" s="43"/>
      <c r="I21" s="30" t="s">
        <v>178</v>
      </c>
      <c r="K21" s="19"/>
    </row>
    <row r="22" spans="2:11" ht="24" customHeight="1" thickBot="1" x14ac:dyDescent="0.25">
      <c r="B22" s="105"/>
      <c r="C22" s="8"/>
      <c r="D22" s="44"/>
      <c r="E22" s="44"/>
      <c r="F22" s="44"/>
      <c r="G22" s="44"/>
      <c r="H22" s="62"/>
      <c r="I22" s="29" t="s">
        <v>179</v>
      </c>
      <c r="K22" s="19"/>
    </row>
    <row r="23" spans="2:11" ht="26.25" customHeight="1" thickBot="1" x14ac:dyDescent="0.25">
      <c r="B23" s="109" t="s">
        <v>180</v>
      </c>
      <c r="C23" s="110"/>
      <c r="D23" s="35">
        <f>MAX(D6:D22)</f>
        <v>0</v>
      </c>
      <c r="E23" s="35">
        <f>MAX(E6:E22)</f>
        <v>0</v>
      </c>
      <c r="F23" s="35">
        <f>MAX(F6:F22)</f>
        <v>0</v>
      </c>
      <c r="G23" s="35">
        <f>MAX(G5:G21)</f>
        <v>0</v>
      </c>
      <c r="H23" s="35">
        <f>MAX(H5:H21)</f>
        <v>0</v>
      </c>
      <c r="I23" s="4" t="str">
        <f>IF(OR(SUM(E6:H22)&lt;7,SUM(E6:H22)&gt;7),"Er zijn te veel of te weinig antwoorden gegeven, vul per vraag maar 1 waarde in!"," ")</f>
        <v>Er zijn te veel of te weinig antwoorden gegeven, vul per vraag maar 1 waarde in!</v>
      </c>
      <c r="K23" s="19"/>
    </row>
    <row r="24" spans="2:11" ht="27" customHeight="1" thickBot="1" x14ac:dyDescent="0.25">
      <c r="B24" s="109" t="s">
        <v>181</v>
      </c>
      <c r="C24" s="110"/>
      <c r="D24" s="35" t="str">
        <f>IF(D23&gt;0,D4, " ")</f>
        <v xml:space="preserve"> </v>
      </c>
      <c r="E24" s="35" t="str">
        <f>IF(E23&gt;0,E4, " ")</f>
        <v xml:space="preserve"> </v>
      </c>
      <c r="F24" s="35" t="str">
        <f>IF(F23&gt;0,F4, " ")</f>
        <v xml:space="preserve"> </v>
      </c>
      <c r="G24" s="35" t="str">
        <f>IF(G23&gt;0,G4, " ")</f>
        <v xml:space="preserve"> </v>
      </c>
      <c r="H24" s="35" t="str">
        <f>IF(H23&gt;0,H4, " ")</f>
        <v xml:space="preserve"> </v>
      </c>
      <c r="I24" s="4"/>
      <c r="J24" s="15"/>
      <c r="K24" s="19"/>
    </row>
    <row r="25" spans="2:11" ht="75" customHeight="1" thickBot="1" x14ac:dyDescent="0.25">
      <c r="B25" s="109" t="s">
        <v>182</v>
      </c>
      <c r="C25" s="110"/>
      <c r="D25" s="119" t="str">
        <f>IF(D24=D4,D4,IF(E24=E4, E4,IF(F24="Noodzakelijk",F24,IF(G24="Belangrijk",G24,IF(H24="Niet Zeker",H24,"Niets ingevuld")))))</f>
        <v>Niets ingevuld</v>
      </c>
      <c r="E25" s="120"/>
      <c r="F25" s="120"/>
      <c r="G25" s="120"/>
      <c r="H25" s="121"/>
      <c r="I25" s="39" t="str">
        <f>IF(D24=D4,"De BIO2 moet worden gevolgd om tot extra beschikbaarheids maatregelen te komen tevens een RA uitvoeren.",IF(E24=E4,"De BIO2 moet worden gevolgd om tot extra beschikbaarheids maatregelen te komen tevens een RA uitvoeren.",IF(F24=F4,"De te kiezen beschikbaarheidsmaatregelen uit de BIO2 kunnen voldoede zijn, voer eventueel een RA uit.",IF(G24=G4,"De beschikbaarheidsmaaatregelen uit de BIO2 zijn voldoende",IF(H24=H4,"Er is een minimale beschikbaarheidseis vastgesteld, er kunnen nog steeds enkele maatregelen gekozen worden om de uitval niet meer dan 2 weken te laten zijn.","De beschikbaarheidsclassificatie is nog niet vastgesteld.")))))</f>
        <v>De beschikbaarheidsclassificatie is nog niet vastgesteld.</v>
      </c>
      <c r="K25" s="19"/>
    </row>
    <row r="26" spans="2:11" ht="16" thickBot="1" x14ac:dyDescent="0.25">
      <c r="B26" s="34" t="s">
        <v>183</v>
      </c>
      <c r="C26" s="111" t="s">
        <v>184</v>
      </c>
      <c r="D26" s="112"/>
      <c r="E26" s="112"/>
      <c r="F26" s="112"/>
      <c r="G26" s="112"/>
      <c r="H26" s="112"/>
      <c r="I26" s="110"/>
      <c r="K26" s="19"/>
    </row>
    <row r="27" spans="2:11" ht="60" customHeight="1" thickBot="1" x14ac:dyDescent="0.25">
      <c r="B27" s="96" t="str">
        <f>D4</f>
        <v>Catastrofaal</v>
      </c>
      <c r="C27" s="116" t="s">
        <v>185</v>
      </c>
      <c r="D27" s="117"/>
      <c r="E27" s="117"/>
      <c r="F27" s="117"/>
      <c r="G27" s="117"/>
      <c r="H27" s="117"/>
      <c r="I27" s="118"/>
      <c r="K27" s="19"/>
    </row>
    <row r="28" spans="2:11" ht="63" customHeight="1" x14ac:dyDescent="0.2">
      <c r="B28" s="96" t="str">
        <f>E4</f>
        <v>Kritiek/ Zeer ernstig</v>
      </c>
      <c r="C28" s="116" t="s">
        <v>186</v>
      </c>
      <c r="D28" s="117"/>
      <c r="E28" s="117"/>
      <c r="F28" s="117"/>
      <c r="G28" s="117"/>
      <c r="H28" s="117"/>
      <c r="I28" s="118"/>
      <c r="K28" s="19"/>
    </row>
    <row r="29" spans="2:11" ht="63.75" customHeight="1" x14ac:dyDescent="0.2">
      <c r="B29" s="97" t="str">
        <f>F4</f>
        <v>Gemiddeld</v>
      </c>
      <c r="C29" s="113" t="s">
        <v>187</v>
      </c>
      <c r="D29" s="114"/>
      <c r="E29" s="114"/>
      <c r="F29" s="114"/>
      <c r="G29" s="114"/>
      <c r="H29" s="114"/>
      <c r="I29" s="115"/>
      <c r="K29" s="19"/>
    </row>
    <row r="30" spans="2:11" ht="48" customHeight="1" x14ac:dyDescent="0.2">
      <c r="B30" s="97" t="str">
        <f>G4</f>
        <v>Gering</v>
      </c>
      <c r="C30" s="113" t="s">
        <v>188</v>
      </c>
      <c r="D30" s="114"/>
      <c r="E30" s="114"/>
      <c r="F30" s="114"/>
      <c r="G30" s="114"/>
      <c r="H30" s="114"/>
      <c r="I30" s="115"/>
      <c r="K30" s="19"/>
    </row>
    <row r="31" spans="2:11" ht="80.25" customHeight="1" thickBot="1" x14ac:dyDescent="0.25">
      <c r="B31" s="98" t="str">
        <f>H4</f>
        <v xml:space="preserve">Verwaarloosbaar </v>
      </c>
      <c r="C31" s="101" t="s">
        <v>189</v>
      </c>
      <c r="D31" s="102"/>
      <c r="E31" s="102"/>
      <c r="F31" s="102"/>
      <c r="G31" s="102"/>
      <c r="H31" s="102"/>
      <c r="I31" s="103"/>
      <c r="K31" s="19"/>
    </row>
    <row r="34" spans="2:2" x14ac:dyDescent="0.2">
      <c r="B34" s="10"/>
    </row>
  </sheetData>
  <mergeCells count="30">
    <mergeCell ref="K13:K14"/>
    <mergeCell ref="K17:K18"/>
    <mergeCell ref="K15:K16"/>
    <mergeCell ref="B2:C2"/>
    <mergeCell ref="B3:C3"/>
    <mergeCell ref="E2:G2"/>
    <mergeCell ref="E3:G3"/>
    <mergeCell ref="B4:C4"/>
    <mergeCell ref="I5:I6"/>
    <mergeCell ref="B7:B8"/>
    <mergeCell ref="I7:I8"/>
    <mergeCell ref="B9:B12"/>
    <mergeCell ref="B13:B14"/>
    <mergeCell ref="I13:I14"/>
    <mergeCell ref="B5:B6"/>
    <mergeCell ref="C31:I31"/>
    <mergeCell ref="B15:B16"/>
    <mergeCell ref="I15:I16"/>
    <mergeCell ref="B17:B18"/>
    <mergeCell ref="I17:I18"/>
    <mergeCell ref="B19:B22"/>
    <mergeCell ref="B23:C23"/>
    <mergeCell ref="B25:C25"/>
    <mergeCell ref="C26:I26"/>
    <mergeCell ref="C29:I29"/>
    <mergeCell ref="C30:I30"/>
    <mergeCell ref="C28:I28"/>
    <mergeCell ref="B24:C24"/>
    <mergeCell ref="C27:I27"/>
    <mergeCell ref="D25:H25"/>
  </mergeCells>
  <conditionalFormatting sqref="D23:F23">
    <cfRule type="cellIs" dxfId="7" priority="8" operator="greaterThan">
      <formula>1</formula>
    </cfRule>
  </conditionalFormatting>
  <conditionalFormatting sqref="D24:H24">
    <cfRule type="cellIs" dxfId="6" priority="15" operator="greaterThan">
      <formula>7</formula>
    </cfRule>
  </conditionalFormatting>
  <conditionalFormatting sqref="G23:H23">
    <cfRule type="cellIs" dxfId="5" priority="11" operator="greaterThan">
      <formula>2</formula>
    </cfRule>
  </conditionalFormatting>
  <conditionalFormatting sqref="I24">
    <cfRule type="cellIs" dxfId="4" priority="6" operator="greaterThan">
      <formula>42</formula>
    </cfRule>
  </conditionalFormatting>
  <dataValidations xWindow="429" yWindow="672" count="1">
    <dataValidation type="list" allowBlank="1" showInputMessage="1" showErrorMessage="1" promptTitle="beschikbaarheid" prompt="kies 0 of 1, en vul maar 1 cel per rij/vraag in" sqref="D6:H6 D8:H8 D10:H10 D14:H14 D16:H16 D18:H18 D20:H20" xr:uid="{C16678F3-E3C3-4F60-B118-3ECC21406F16}">
      <formula1>beschikbaarheid</formula1>
    </dataValidation>
  </dataValidations>
  <pageMargins left="0.70866141732283472" right="0.70866141732283472" top="0.74803149606299213" bottom="0.74803149606299213" header="0.31496062992125984" footer="0.31496062992125984"/>
  <pageSetup paperSize="9" scale="59" orientation="portrait" r:id="rId1"/>
  <headerFooter>
    <oddHeader>&amp;R&amp;D</oddHeader>
    <oddFooter>&amp;LBaselinetoets BIO gemeenten&amp;C&amp;A&amp;R&amp;P van &amp;N</oddFooter>
  </headerFooter>
  <rowBreaks count="1" manualBreakCount="1">
    <brk id="25" min="1" max="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K28"/>
  <sheetViews>
    <sheetView topLeftCell="A6" zoomScaleNormal="100" workbookViewId="0">
      <selection activeCell="D20" sqref="D20:H20"/>
    </sheetView>
  </sheetViews>
  <sheetFormatPr baseColWidth="10" defaultColWidth="8.83203125" defaultRowHeight="15" x14ac:dyDescent="0.2"/>
  <cols>
    <col min="1" max="1" width="2.33203125" customWidth="1"/>
    <col min="2" max="2" width="8.33203125" customWidth="1"/>
    <col min="3" max="3" width="39" customWidth="1"/>
    <col min="4" max="4" width="11.6640625" customWidth="1"/>
    <col min="5" max="5" width="10.33203125" customWidth="1"/>
    <col min="6" max="6" width="10.83203125" customWidth="1"/>
    <col min="7" max="7" width="9.5" customWidth="1"/>
    <col min="8" max="8" width="10.83203125" customWidth="1"/>
    <col min="9" max="9" width="38.5" customWidth="1"/>
    <col min="10" max="10" width="19.33203125" customWidth="1"/>
    <col min="11" max="11" width="42" customWidth="1"/>
    <col min="13" max="13" width="11.1640625" customWidth="1"/>
    <col min="14" max="14" width="107.83203125" customWidth="1"/>
  </cols>
  <sheetData>
    <row r="1" spans="2:11" ht="22" thickBot="1" x14ac:dyDescent="0.3">
      <c r="B1" s="18" t="s">
        <v>190</v>
      </c>
      <c r="K1" s="21" t="s">
        <v>119</v>
      </c>
    </row>
    <row r="2" spans="2:11" ht="33.75" customHeight="1" thickTop="1" x14ac:dyDescent="0.2">
      <c r="B2" s="123" t="s">
        <v>191</v>
      </c>
      <c r="C2" s="124"/>
      <c r="D2" s="86"/>
      <c r="E2" s="146" t="s">
        <v>121</v>
      </c>
      <c r="F2" s="147"/>
      <c r="G2" s="147"/>
      <c r="H2" s="58"/>
      <c r="I2" s="12" t="s">
        <v>122</v>
      </c>
      <c r="K2" s="94" t="s">
        <v>68</v>
      </c>
    </row>
    <row r="3" spans="2:11" ht="27" thickBot="1" x14ac:dyDescent="0.25">
      <c r="B3" s="144" t="s">
        <v>123</v>
      </c>
      <c r="C3" s="145"/>
      <c r="D3" s="42" t="s">
        <v>126</v>
      </c>
      <c r="E3" s="42" t="s">
        <v>127</v>
      </c>
      <c r="F3" s="42" t="s">
        <v>128</v>
      </c>
      <c r="G3" s="42" t="s">
        <v>129</v>
      </c>
      <c r="H3" s="63" t="s">
        <v>130</v>
      </c>
      <c r="I3" s="13" t="s">
        <v>125</v>
      </c>
    </row>
    <row r="4" spans="2:11" ht="24" x14ac:dyDescent="0.2">
      <c r="B4" s="104" t="s">
        <v>192</v>
      </c>
      <c r="C4" s="5" t="s">
        <v>132</v>
      </c>
      <c r="D4" s="55" t="s">
        <v>193</v>
      </c>
      <c r="E4" s="55" t="s">
        <v>194</v>
      </c>
      <c r="F4" s="55" t="s">
        <v>195</v>
      </c>
      <c r="G4" s="55" t="s">
        <v>196</v>
      </c>
      <c r="H4" s="59" t="s">
        <v>197</v>
      </c>
      <c r="I4" s="106"/>
      <c r="K4" s="14"/>
    </row>
    <row r="5" spans="2:11" ht="27" thickBot="1" x14ac:dyDescent="0.25">
      <c r="B5" s="105"/>
      <c r="C5" s="3" t="s">
        <v>198</v>
      </c>
      <c r="D5" s="16">
        <v>0</v>
      </c>
      <c r="E5" s="16">
        <v>0</v>
      </c>
      <c r="F5" s="16">
        <v>0</v>
      </c>
      <c r="G5" s="16">
        <v>0</v>
      </c>
      <c r="H5" s="60">
        <v>0</v>
      </c>
      <c r="I5" s="107"/>
    </row>
    <row r="6" spans="2:11" ht="24" x14ac:dyDescent="0.2">
      <c r="B6" s="104" t="s">
        <v>199</v>
      </c>
      <c r="C6" s="5" t="s">
        <v>200</v>
      </c>
      <c r="D6" s="55" t="s">
        <v>201</v>
      </c>
      <c r="E6" s="55" t="s">
        <v>202</v>
      </c>
      <c r="F6" s="55" t="s">
        <v>203</v>
      </c>
      <c r="G6" s="55" t="s">
        <v>204</v>
      </c>
      <c r="H6" s="59" t="s">
        <v>205</v>
      </c>
      <c r="I6" s="106"/>
    </row>
    <row r="7" spans="2:11" ht="27" thickBot="1" x14ac:dyDescent="0.25">
      <c r="B7" s="105"/>
      <c r="C7" s="3" t="s">
        <v>206</v>
      </c>
      <c r="D7" s="16">
        <v>0</v>
      </c>
      <c r="E7" s="16">
        <v>0</v>
      </c>
      <c r="F7" s="16">
        <v>0</v>
      </c>
      <c r="G7" s="16">
        <v>0</v>
      </c>
      <c r="H7" s="60">
        <v>0</v>
      </c>
      <c r="I7" s="107"/>
    </row>
    <row r="8" spans="2:11" x14ac:dyDescent="0.2">
      <c r="B8" s="104" t="s">
        <v>207</v>
      </c>
      <c r="C8" s="5" t="s">
        <v>208</v>
      </c>
      <c r="D8" s="55" t="s">
        <v>209</v>
      </c>
      <c r="E8" s="55" t="s">
        <v>210</v>
      </c>
      <c r="F8" s="55" t="s">
        <v>128</v>
      </c>
      <c r="G8" s="55" t="s">
        <v>211</v>
      </c>
      <c r="H8" s="59" t="s">
        <v>212</v>
      </c>
      <c r="I8" s="106"/>
    </row>
    <row r="9" spans="2:11" ht="53" thickBot="1" x14ac:dyDescent="0.25">
      <c r="B9" s="105"/>
      <c r="C9" s="3" t="s">
        <v>213</v>
      </c>
      <c r="D9" s="16">
        <v>0</v>
      </c>
      <c r="E9" s="16">
        <v>0</v>
      </c>
      <c r="F9" s="16">
        <v>0</v>
      </c>
      <c r="G9" s="16">
        <v>0</v>
      </c>
      <c r="H9" s="60">
        <v>0</v>
      </c>
      <c r="I9" s="107"/>
    </row>
    <row r="10" spans="2:11" x14ac:dyDescent="0.2">
      <c r="B10" s="104" t="s">
        <v>214</v>
      </c>
      <c r="C10" s="5" t="s">
        <v>215</v>
      </c>
      <c r="D10" s="55" t="s">
        <v>216</v>
      </c>
      <c r="E10" s="55" t="s">
        <v>217</v>
      </c>
      <c r="F10" s="55" t="s">
        <v>128</v>
      </c>
      <c r="G10" s="55" t="s">
        <v>211</v>
      </c>
      <c r="H10" s="59" t="s">
        <v>212</v>
      </c>
      <c r="I10" s="106"/>
    </row>
    <row r="11" spans="2:11" ht="27" thickBot="1" x14ac:dyDescent="0.25">
      <c r="B11" s="105"/>
      <c r="C11" s="3" t="s">
        <v>218</v>
      </c>
      <c r="D11" s="16">
        <v>0</v>
      </c>
      <c r="E11" s="16">
        <v>0</v>
      </c>
      <c r="F11" s="16">
        <v>0</v>
      </c>
      <c r="G11" s="16">
        <v>0</v>
      </c>
      <c r="H11" s="60">
        <v>0</v>
      </c>
      <c r="I11" s="107"/>
    </row>
    <row r="12" spans="2:11" x14ac:dyDescent="0.2">
      <c r="B12" s="104" t="s">
        <v>219</v>
      </c>
      <c r="C12" s="5" t="s">
        <v>158</v>
      </c>
      <c r="D12" s="55" t="s">
        <v>216</v>
      </c>
      <c r="E12" s="55" t="s">
        <v>217</v>
      </c>
      <c r="F12" s="55" t="s">
        <v>128</v>
      </c>
      <c r="G12" s="55" t="s">
        <v>211</v>
      </c>
      <c r="H12" s="59" t="s">
        <v>212</v>
      </c>
      <c r="I12" s="106"/>
    </row>
    <row r="13" spans="2:11" ht="53" thickBot="1" x14ac:dyDescent="0.25">
      <c r="B13" s="105"/>
      <c r="C13" s="3" t="s">
        <v>220</v>
      </c>
      <c r="D13" s="16">
        <v>0</v>
      </c>
      <c r="E13" s="16">
        <v>0</v>
      </c>
      <c r="F13" s="16">
        <v>0</v>
      </c>
      <c r="G13" s="16">
        <v>0</v>
      </c>
      <c r="H13" s="16">
        <v>0</v>
      </c>
      <c r="I13" s="107"/>
    </row>
    <row r="14" spans="2:11" ht="24" x14ac:dyDescent="0.2">
      <c r="B14" s="104" t="s">
        <v>221</v>
      </c>
      <c r="C14" s="5" t="s">
        <v>162</v>
      </c>
      <c r="D14" s="55" t="s">
        <v>222</v>
      </c>
      <c r="E14" s="55" t="s">
        <v>223</v>
      </c>
      <c r="F14" s="55" t="s">
        <v>224</v>
      </c>
      <c r="G14" s="55" t="s">
        <v>225</v>
      </c>
      <c r="H14" s="59" t="s">
        <v>212</v>
      </c>
      <c r="I14" s="106"/>
    </row>
    <row r="15" spans="2:11" ht="66" thickBot="1" x14ac:dyDescent="0.25">
      <c r="B15" s="105"/>
      <c r="C15" s="3" t="s">
        <v>226</v>
      </c>
      <c r="D15" s="16">
        <v>0</v>
      </c>
      <c r="E15" s="16">
        <v>0</v>
      </c>
      <c r="F15" s="16">
        <v>0</v>
      </c>
      <c r="G15" s="16">
        <v>0</v>
      </c>
      <c r="H15" s="16">
        <v>0</v>
      </c>
      <c r="I15" s="107"/>
    </row>
    <row r="16" spans="2:11" x14ac:dyDescent="0.2">
      <c r="B16" s="104" t="s">
        <v>227</v>
      </c>
      <c r="C16" s="5" t="s">
        <v>166</v>
      </c>
      <c r="D16" s="55" t="s">
        <v>216</v>
      </c>
      <c r="E16" s="55" t="s">
        <v>217</v>
      </c>
      <c r="F16" s="55" t="s">
        <v>128</v>
      </c>
      <c r="G16" s="55" t="s">
        <v>211</v>
      </c>
      <c r="H16" s="59" t="s">
        <v>212</v>
      </c>
      <c r="I16" s="106"/>
    </row>
    <row r="17" spans="2:11" ht="40" thickBot="1" x14ac:dyDescent="0.25">
      <c r="B17" s="105"/>
      <c r="C17" s="3" t="s">
        <v>228</v>
      </c>
      <c r="D17" s="54">
        <v>0</v>
      </c>
      <c r="E17" s="54">
        <v>0</v>
      </c>
      <c r="F17" s="54">
        <v>0</v>
      </c>
      <c r="G17" s="54">
        <v>0</v>
      </c>
      <c r="H17" s="54">
        <v>0</v>
      </c>
      <c r="I17" s="107"/>
    </row>
    <row r="18" spans="2:11" ht="31.5" customHeight="1" thickBot="1" x14ac:dyDescent="0.25">
      <c r="B18" s="9"/>
      <c r="C18" s="11" t="s">
        <v>229</v>
      </c>
      <c r="D18" s="35">
        <f t="shared" ref="D18" si="0">MAX(D4:D17)</f>
        <v>0</v>
      </c>
      <c r="E18" s="35">
        <f t="shared" ref="E18:H18" si="1">MAX(E4:E17)</f>
        <v>0</v>
      </c>
      <c r="F18" s="35">
        <f t="shared" si="1"/>
        <v>0</v>
      </c>
      <c r="G18" s="35">
        <f t="shared" si="1"/>
        <v>0</v>
      </c>
      <c r="H18" s="35">
        <f t="shared" si="1"/>
        <v>0</v>
      </c>
      <c r="I18" s="4" t="str">
        <f>IF(OR(SUM(E3:G17)&lt;7,SUM(E3:G17)&gt;7),"Er zijn te veel of te weinig antwoorden gegeven, vul per vraag maar 1 waarde in!"," ")</f>
        <v>Er zijn te veel of te weinig antwoorden gegeven, vul per vraag maar 1 waarde in!</v>
      </c>
      <c r="K18" s="19"/>
    </row>
    <row r="19" spans="2:11" ht="36" customHeight="1" thickBot="1" x14ac:dyDescent="0.25">
      <c r="B19" s="109" t="s">
        <v>230</v>
      </c>
      <c r="C19" s="110"/>
      <c r="D19" s="36" t="str">
        <f>IF(D18&gt;0,D3, " ")</f>
        <v xml:space="preserve"> </v>
      </c>
      <c r="E19" s="36" t="str">
        <f>IF(E18&gt;0,E3, " ")</f>
        <v xml:space="preserve"> </v>
      </c>
      <c r="F19" s="36" t="str">
        <f>IF(F18&gt;0,F3, " ")</f>
        <v xml:space="preserve"> </v>
      </c>
      <c r="G19" s="36" t="str">
        <f>IF(G18&gt;0,G3, " ")</f>
        <v xml:space="preserve"> </v>
      </c>
      <c r="H19" s="36" t="str">
        <f>IF(H18&gt;0,H3, " ")</f>
        <v xml:space="preserve"> </v>
      </c>
      <c r="I19" s="39"/>
      <c r="K19" s="19"/>
    </row>
    <row r="20" spans="2:11" ht="97.5" customHeight="1" thickBot="1" x14ac:dyDescent="0.25">
      <c r="B20" s="138" t="s">
        <v>231</v>
      </c>
      <c r="C20" s="139"/>
      <c r="D20" s="119" t="str">
        <f>IF(D19=D3,D3,IF(E19=E3,E3,IF(F19=F3,F3,IF(G19=G3,G3,IF(H19=H3,H3,"Niets ingevuld")))))</f>
        <v>Niets ingevuld</v>
      </c>
      <c r="E20" s="120"/>
      <c r="F20" s="120"/>
      <c r="G20" s="120"/>
      <c r="H20" s="121"/>
      <c r="I20" s="39" t="str">
        <f>IF(D19=D3,"De BIO2 en aanvullende risicoanalyse moet worden gebruikt om extra integriteitsmaatregelen te bepalen",IF(E19=E3,"De BIO2 en aanvullende risicoanalyse moet worden gebruikt om extra integriteitsmaatregelen te bepalen",IF(F19=F3,"De BIO2 basismaatregelen gemeenten kunnen worden gebruikt",IF(G19=G3,"Alleen de overheidsmaatregeln uit de BIO2 kunnen voldoende zijn",IF(H19=H3,"De vastgestelde Ingeriteitsclassificatie is zeer laag', er kunnen nog steeds enkele maatregelen gekozen worden om de integriteit te waarborgen","De integriteitsclassificatie is nog niet vastgesteld.")))))</f>
        <v>De integriteitsclassificatie is nog niet vastgesteld.</v>
      </c>
      <c r="K20" s="19"/>
    </row>
    <row r="21" spans="2:11" ht="27" customHeight="1" thickBot="1" x14ac:dyDescent="0.25">
      <c r="B21" s="34" t="s">
        <v>183</v>
      </c>
      <c r="C21" s="111" t="s">
        <v>232</v>
      </c>
      <c r="D21" s="112"/>
      <c r="E21" s="112"/>
      <c r="F21" s="112"/>
      <c r="G21" s="112"/>
      <c r="H21" s="112"/>
      <c r="I21" s="110"/>
    </row>
    <row r="22" spans="2:11" ht="68.25" customHeight="1" thickBot="1" x14ac:dyDescent="0.25">
      <c r="B22" s="46" t="str">
        <f>D3</f>
        <v>Catastrofaal</v>
      </c>
      <c r="C22" s="141" t="s">
        <v>233</v>
      </c>
      <c r="D22" s="142"/>
      <c r="E22" s="142"/>
      <c r="F22" s="142"/>
      <c r="G22" s="142"/>
      <c r="H22" s="142"/>
      <c r="I22" s="143"/>
    </row>
    <row r="23" spans="2:11" ht="67.5" customHeight="1" x14ac:dyDescent="0.2">
      <c r="B23" s="46" t="str">
        <f>E3</f>
        <v>Kritiek/ Zeer ernstig</v>
      </c>
      <c r="C23" s="116" t="s">
        <v>234</v>
      </c>
      <c r="D23" s="117"/>
      <c r="E23" s="117"/>
      <c r="F23" s="117"/>
      <c r="G23" s="117"/>
      <c r="H23" s="117"/>
      <c r="I23" s="140"/>
    </row>
    <row r="24" spans="2:11" ht="60" customHeight="1" x14ac:dyDescent="0.2">
      <c r="B24" s="47" t="str">
        <f>F3</f>
        <v>Gemiddeld</v>
      </c>
      <c r="C24" s="113" t="s">
        <v>235</v>
      </c>
      <c r="D24" s="114"/>
      <c r="E24" s="114"/>
      <c r="F24" s="114"/>
      <c r="G24" s="114"/>
      <c r="H24" s="114"/>
      <c r="I24" s="136"/>
    </row>
    <row r="25" spans="2:11" ht="56.5" customHeight="1" x14ac:dyDescent="0.2">
      <c r="B25" s="47" t="str">
        <f>G3</f>
        <v>Gering</v>
      </c>
      <c r="C25" s="113" t="s">
        <v>236</v>
      </c>
      <c r="D25" s="114"/>
      <c r="E25" s="114"/>
      <c r="F25" s="114"/>
      <c r="G25" s="114"/>
      <c r="H25" s="114"/>
      <c r="I25" s="136"/>
    </row>
    <row r="26" spans="2:11" ht="79.5" customHeight="1" thickBot="1" x14ac:dyDescent="0.25">
      <c r="B26" s="48" t="str">
        <f>H3</f>
        <v xml:space="preserve">Verwaarloosbaar </v>
      </c>
      <c r="C26" s="101" t="s">
        <v>237</v>
      </c>
      <c r="D26" s="102"/>
      <c r="E26" s="102"/>
      <c r="F26" s="102"/>
      <c r="G26" s="102"/>
      <c r="H26" s="102"/>
      <c r="I26" s="137"/>
      <c r="K26" s="20"/>
    </row>
    <row r="28" spans="2:11" ht="34" customHeight="1" x14ac:dyDescent="0.2">
      <c r="B28" s="100" t="s">
        <v>238</v>
      </c>
      <c r="C28" s="135" t="s">
        <v>239</v>
      </c>
      <c r="D28" s="135"/>
      <c r="E28" s="135"/>
      <c r="F28" s="135"/>
      <c r="G28" s="135"/>
      <c r="H28" s="135"/>
      <c r="I28" s="135"/>
    </row>
  </sheetData>
  <mergeCells count="27">
    <mergeCell ref="B6:B7"/>
    <mergeCell ref="I6:I7"/>
    <mergeCell ref="B2:C2"/>
    <mergeCell ref="B3:C3"/>
    <mergeCell ref="B4:B5"/>
    <mergeCell ref="I4:I5"/>
    <mergeCell ref="E2:G2"/>
    <mergeCell ref="B8:B9"/>
    <mergeCell ref="I8:I9"/>
    <mergeCell ref="B10:B11"/>
    <mergeCell ref="I10:I11"/>
    <mergeCell ref="B12:B13"/>
    <mergeCell ref="I12:I13"/>
    <mergeCell ref="B20:C20"/>
    <mergeCell ref="C23:I23"/>
    <mergeCell ref="D20:H20"/>
    <mergeCell ref="C22:I22"/>
    <mergeCell ref="B14:B15"/>
    <mergeCell ref="I14:I15"/>
    <mergeCell ref="B16:B17"/>
    <mergeCell ref="I16:I17"/>
    <mergeCell ref="B19:C19"/>
    <mergeCell ref="C28:I28"/>
    <mergeCell ref="C21:I21"/>
    <mergeCell ref="C24:I24"/>
    <mergeCell ref="C25:I25"/>
    <mergeCell ref="C26:I26"/>
  </mergeCells>
  <conditionalFormatting sqref="D18:H18">
    <cfRule type="cellIs" dxfId="3" priority="5" operator="greaterThan">
      <formula>2</formula>
    </cfRule>
  </conditionalFormatting>
  <conditionalFormatting sqref="D19:H19">
    <cfRule type="cellIs" dxfId="2" priority="1" operator="greaterThan">
      <formula>14</formula>
    </cfRule>
  </conditionalFormatting>
  <dataValidations count="3">
    <dataValidation type="list" allowBlank="1" showInputMessage="1" showErrorMessage="1" promptTitle="Integriteit" prompt="Kies een waarde van 0 oif 1 en vul maar één waarde per rij in" sqref="D13:H13" xr:uid="{BB705180-2AF1-4742-BE72-08018045FFD7}">
      <formula1>Integriteit</formula1>
    </dataValidation>
    <dataValidation type="list" allowBlank="1" showInputMessage="1" showErrorMessage="1" promptTitle="Integriteit" prompt="Kies een waarde van 0 of 1 en maar 1 cel per rij_x000a_" sqref="D15:H15" xr:uid="{E0B6EDD8-C97F-AA4D-ADBE-11F3F2A0CC02}">
      <formula1>Integriteit</formula1>
    </dataValidation>
    <dataValidation type="list" allowBlank="1" showInputMessage="1" showErrorMessage="1" promptTitle="Integriteit" prompt="Kies een waarde van 0 of 1 en vul maar 1 cel per vraag / rij" sqref="D17:H17" xr:uid="{A545498D-D04E-4F4D-BA54-B909F31E56C2}">
      <formula1>Integriteit</formula1>
    </dataValidation>
  </dataValidations>
  <pageMargins left="0.70866141732283472" right="0.70866141732283472" top="0.74803149606299213" bottom="0.74803149606299213" header="0.31496062992125984" footer="0.31496062992125984"/>
  <pageSetup paperSize="9" scale="63" orientation="portrait" r:id="rId1"/>
  <headerFooter>
    <oddHeader>&amp;R&amp;D</oddHeader>
    <oddFooter>&amp;LBaselinetoets BIO gemeenten&amp;C&amp;A&amp;R&amp;P van &amp;N</oddFooter>
  </headerFooter>
  <rowBreaks count="2" manualBreakCount="2">
    <brk id="19" max="16383" man="1"/>
    <brk id="20" min="1" max="6" man="1"/>
  </rowBreaks>
  <extLst>
    <ext xmlns:x14="http://schemas.microsoft.com/office/spreadsheetml/2009/9/main" uri="{CCE6A557-97BC-4b89-ADB6-D9C93CAAB3DF}">
      <x14:dataValidations xmlns:xm="http://schemas.microsoft.com/office/excel/2006/main" count="1">
        <x14:dataValidation type="list" allowBlank="1" showInputMessage="1" showErrorMessage="1" promptTitle="Integriteit" prompt="kies 0 of 1, en vul maar 1 cel per rij/vraag in" xr:uid="{355CD66B-C497-499A-A995-F16BBDB3E523}">
          <x14:formula1>
            <xm:f>Waarderingstabellen!$O$12:$O$15</xm:f>
          </x14:formula1>
          <xm:sqref>D5:H5 D7:H7 D9:H9 D11:H11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K34"/>
  <sheetViews>
    <sheetView topLeftCell="A12" zoomScaleNormal="100" zoomScaleSheetLayoutView="158" workbookViewId="0">
      <selection activeCell="D19" sqref="D19"/>
    </sheetView>
  </sheetViews>
  <sheetFormatPr baseColWidth="10" defaultColWidth="8.83203125" defaultRowHeight="15" x14ac:dyDescent="0.2"/>
  <cols>
    <col min="1" max="1" width="1.6640625" customWidth="1"/>
    <col min="3" max="3" width="35.5" customWidth="1"/>
    <col min="4" max="4" width="10.1640625" customWidth="1"/>
    <col min="5" max="5" width="8.6640625" customWidth="1"/>
    <col min="6" max="6" width="8.83203125" customWidth="1"/>
    <col min="7" max="7" width="8.6640625" customWidth="1"/>
    <col min="8" max="8" width="9.83203125" customWidth="1"/>
    <col min="9" max="9" width="29.6640625" customWidth="1"/>
    <col min="11" max="11" width="96.1640625" customWidth="1"/>
    <col min="15" max="15" width="123.33203125" customWidth="1"/>
  </cols>
  <sheetData>
    <row r="1" spans="2:11" ht="22" thickBot="1" x14ac:dyDescent="0.3">
      <c r="B1" s="18" t="s">
        <v>240</v>
      </c>
      <c r="K1" s="21" t="s">
        <v>119</v>
      </c>
    </row>
    <row r="2" spans="2:11" ht="30.75" customHeight="1" thickTop="1" x14ac:dyDescent="0.2">
      <c r="B2" s="123" t="s">
        <v>241</v>
      </c>
      <c r="C2" s="124"/>
      <c r="D2" s="86"/>
      <c r="E2" s="146" t="s">
        <v>121</v>
      </c>
      <c r="F2" s="147"/>
      <c r="G2" s="147"/>
      <c r="H2" s="147"/>
      <c r="I2" s="12" t="s">
        <v>122</v>
      </c>
      <c r="K2" s="94" t="s">
        <v>68</v>
      </c>
    </row>
    <row r="3" spans="2:11" ht="40" thickBot="1" x14ac:dyDescent="0.25">
      <c r="B3" s="144" t="s">
        <v>123</v>
      </c>
      <c r="C3" s="145"/>
      <c r="D3" s="41" t="s">
        <v>242</v>
      </c>
      <c r="E3" s="41" t="s">
        <v>243</v>
      </c>
      <c r="F3" s="41" t="s">
        <v>244</v>
      </c>
      <c r="G3" s="42" t="s">
        <v>245</v>
      </c>
      <c r="H3" s="63" t="s">
        <v>246</v>
      </c>
      <c r="I3" s="13" t="s">
        <v>125</v>
      </c>
      <c r="K3" s="19"/>
    </row>
    <row r="4" spans="2:11" ht="24" x14ac:dyDescent="0.2">
      <c r="B4" s="104" t="s">
        <v>247</v>
      </c>
      <c r="C4" s="5" t="s">
        <v>248</v>
      </c>
      <c r="D4" s="55" t="s">
        <v>249</v>
      </c>
      <c r="E4" s="55" t="s">
        <v>250</v>
      </c>
      <c r="F4" s="55" t="s">
        <v>251</v>
      </c>
      <c r="G4" s="55" t="s">
        <v>252</v>
      </c>
      <c r="H4" s="61" t="s">
        <v>253</v>
      </c>
      <c r="I4" s="161"/>
      <c r="K4" s="19"/>
    </row>
    <row r="5" spans="2:11" ht="53" thickBot="1" x14ac:dyDescent="0.25">
      <c r="B5" s="105"/>
      <c r="C5" s="3" t="s">
        <v>254</v>
      </c>
      <c r="D5" s="16">
        <v>0</v>
      </c>
      <c r="E5" s="16">
        <v>0</v>
      </c>
      <c r="F5" s="16">
        <v>0</v>
      </c>
      <c r="G5" s="16">
        <v>0</v>
      </c>
      <c r="H5" s="16">
        <v>0</v>
      </c>
      <c r="I5" s="162"/>
      <c r="K5" s="19" t="s">
        <v>255</v>
      </c>
    </row>
    <row r="6" spans="2:11" ht="69" customHeight="1" x14ac:dyDescent="0.2">
      <c r="B6" s="104" t="s">
        <v>256</v>
      </c>
      <c r="C6" s="5" t="s">
        <v>257</v>
      </c>
      <c r="D6" s="55" t="s">
        <v>258</v>
      </c>
      <c r="E6" s="55" t="s">
        <v>250</v>
      </c>
      <c r="F6" s="55" t="s">
        <v>251</v>
      </c>
      <c r="G6" s="55" t="s">
        <v>252</v>
      </c>
      <c r="H6" s="66" t="s">
        <v>253</v>
      </c>
      <c r="I6" s="28" t="s">
        <v>259</v>
      </c>
      <c r="K6" s="19"/>
    </row>
    <row r="7" spans="2:11" ht="53" thickBot="1" x14ac:dyDescent="0.25">
      <c r="B7" s="105"/>
      <c r="C7" s="3" t="s">
        <v>260</v>
      </c>
      <c r="D7" s="16">
        <v>0</v>
      </c>
      <c r="E7" s="16">
        <v>0</v>
      </c>
      <c r="F7" s="16">
        <v>0</v>
      </c>
      <c r="G7" s="16">
        <v>0</v>
      </c>
      <c r="H7" s="16">
        <v>0</v>
      </c>
      <c r="I7" s="29"/>
      <c r="K7" s="19" t="s">
        <v>261</v>
      </c>
    </row>
    <row r="8" spans="2:11" x14ac:dyDescent="0.2">
      <c r="B8" s="104" t="s">
        <v>262</v>
      </c>
      <c r="C8" s="5" t="s">
        <v>263</v>
      </c>
      <c r="D8" s="55" t="s">
        <v>264</v>
      </c>
      <c r="E8" s="55" t="s">
        <v>264</v>
      </c>
      <c r="F8" s="55" t="s">
        <v>265</v>
      </c>
      <c r="G8" s="55" t="s">
        <v>266</v>
      </c>
      <c r="H8" s="66" t="s">
        <v>267</v>
      </c>
      <c r="I8" s="161"/>
      <c r="K8" s="19"/>
    </row>
    <row r="9" spans="2:11" ht="27" customHeight="1" thickBot="1" x14ac:dyDescent="0.25">
      <c r="B9" s="105"/>
      <c r="C9" s="3" t="s">
        <v>268</v>
      </c>
      <c r="D9" s="16">
        <v>0</v>
      </c>
      <c r="E9" s="16">
        <v>0</v>
      </c>
      <c r="F9" s="16">
        <v>0</v>
      </c>
      <c r="G9" s="16">
        <v>0</v>
      </c>
      <c r="H9" s="16">
        <v>0</v>
      </c>
      <c r="I9" s="162"/>
      <c r="K9" s="19"/>
    </row>
    <row r="10" spans="2:11" ht="24" x14ac:dyDescent="0.2">
      <c r="B10" s="104" t="s">
        <v>269</v>
      </c>
      <c r="C10" s="5" t="s">
        <v>263</v>
      </c>
      <c r="D10" s="55" t="s">
        <v>270</v>
      </c>
      <c r="E10" s="55" t="s">
        <v>250</v>
      </c>
      <c r="F10" s="55" t="s">
        <v>251</v>
      </c>
      <c r="G10" s="55" t="s">
        <v>252</v>
      </c>
      <c r="H10" s="66" t="s">
        <v>253</v>
      </c>
      <c r="I10" s="161"/>
      <c r="K10" s="19"/>
    </row>
    <row r="11" spans="2:11" ht="40" thickBot="1" x14ac:dyDescent="0.25">
      <c r="B11" s="105"/>
      <c r="C11" s="3" t="s">
        <v>271</v>
      </c>
      <c r="D11" s="16">
        <v>0</v>
      </c>
      <c r="E11" s="16">
        <v>0</v>
      </c>
      <c r="F11" s="16">
        <v>0</v>
      </c>
      <c r="G11" s="16">
        <v>0</v>
      </c>
      <c r="H11" s="16">
        <v>0</v>
      </c>
      <c r="I11" s="162"/>
      <c r="K11" s="19" t="s">
        <v>272</v>
      </c>
    </row>
    <row r="12" spans="2:11" ht="39" x14ac:dyDescent="0.2">
      <c r="B12" s="104" t="s">
        <v>273</v>
      </c>
      <c r="C12" s="5" t="s">
        <v>274</v>
      </c>
      <c r="D12" s="55" t="s">
        <v>270</v>
      </c>
      <c r="E12" s="55" t="s">
        <v>250</v>
      </c>
      <c r="F12" s="55" t="s">
        <v>251</v>
      </c>
      <c r="G12" s="55" t="s">
        <v>252</v>
      </c>
      <c r="H12" s="66" t="s">
        <v>253</v>
      </c>
      <c r="I12" s="28" t="s">
        <v>275</v>
      </c>
      <c r="K12" s="19"/>
    </row>
    <row r="13" spans="2:11" ht="40" thickBot="1" x14ac:dyDescent="0.25">
      <c r="B13" s="105"/>
      <c r="C13" s="3" t="s">
        <v>276</v>
      </c>
      <c r="D13" s="16">
        <v>0</v>
      </c>
      <c r="E13" s="16">
        <v>0</v>
      </c>
      <c r="F13" s="16">
        <v>0</v>
      </c>
      <c r="G13" s="16">
        <v>0</v>
      </c>
      <c r="H13" s="16">
        <v>0</v>
      </c>
      <c r="I13" s="29"/>
      <c r="K13" s="19" t="s">
        <v>277</v>
      </c>
    </row>
    <row r="14" spans="2:11" ht="72" x14ac:dyDescent="0.2">
      <c r="B14" s="104" t="s">
        <v>278</v>
      </c>
      <c r="C14" s="5" t="s">
        <v>162</v>
      </c>
      <c r="D14" s="55" t="s">
        <v>222</v>
      </c>
      <c r="E14" s="55" t="s">
        <v>223</v>
      </c>
      <c r="F14" s="55" t="s">
        <v>224</v>
      </c>
      <c r="G14" s="55" t="s">
        <v>225</v>
      </c>
      <c r="H14" s="66" t="s">
        <v>279</v>
      </c>
      <c r="I14" s="82" t="s">
        <v>280</v>
      </c>
      <c r="K14" s="19" t="s">
        <v>281</v>
      </c>
    </row>
    <row r="15" spans="2:11" ht="40" thickBot="1" x14ac:dyDescent="0.25">
      <c r="B15" s="108"/>
      <c r="C15" s="6" t="s">
        <v>282</v>
      </c>
      <c r="D15" s="16">
        <v>0</v>
      </c>
      <c r="E15" s="16">
        <v>0</v>
      </c>
      <c r="F15" s="16">
        <v>0</v>
      </c>
      <c r="G15" s="16">
        <v>0</v>
      </c>
      <c r="H15" s="16">
        <v>0</v>
      </c>
      <c r="I15" s="30"/>
      <c r="K15" s="19" t="s">
        <v>283</v>
      </c>
    </row>
    <row r="16" spans="2:11" x14ac:dyDescent="0.2">
      <c r="B16" s="108"/>
      <c r="C16" s="7"/>
      <c r="D16" s="43"/>
      <c r="E16" s="43"/>
      <c r="F16" s="43"/>
      <c r="G16" s="43"/>
      <c r="H16" s="43"/>
      <c r="I16" s="28"/>
      <c r="K16" s="19"/>
    </row>
    <row r="17" spans="2:11" ht="16" thickBot="1" x14ac:dyDescent="0.25">
      <c r="B17" s="105"/>
      <c r="C17" s="8"/>
      <c r="D17" s="44"/>
      <c r="E17" s="44"/>
      <c r="F17" s="44"/>
      <c r="G17" s="44"/>
      <c r="H17" s="62"/>
      <c r="I17" s="27"/>
      <c r="K17" s="19"/>
    </row>
    <row r="18" spans="2:11" ht="36" x14ac:dyDescent="0.2">
      <c r="B18" s="104" t="s">
        <v>284</v>
      </c>
      <c r="C18" s="5" t="s">
        <v>166</v>
      </c>
      <c r="D18" s="55" t="s">
        <v>285</v>
      </c>
      <c r="E18" s="55" t="s">
        <v>286</v>
      </c>
      <c r="F18" s="55" t="s">
        <v>287</v>
      </c>
      <c r="G18" s="55" t="s">
        <v>288</v>
      </c>
      <c r="H18" s="66" t="s">
        <v>289</v>
      </c>
      <c r="I18" s="81" t="s">
        <v>290</v>
      </c>
      <c r="K18" s="19"/>
    </row>
    <row r="19" spans="2:11" ht="65" x14ac:dyDescent="0.2">
      <c r="B19" s="105"/>
      <c r="C19" s="3" t="s">
        <v>291</v>
      </c>
      <c r="D19" s="16">
        <v>0</v>
      </c>
      <c r="E19" s="16">
        <v>0</v>
      </c>
      <c r="F19" s="16">
        <v>0</v>
      </c>
      <c r="G19" s="16">
        <v>0</v>
      </c>
      <c r="H19" s="16">
        <v>0</v>
      </c>
      <c r="I19" s="29"/>
      <c r="K19" s="19"/>
    </row>
    <row r="20" spans="2:11" ht="50.25" customHeight="1" thickBot="1" x14ac:dyDescent="0.25">
      <c r="B20" s="9"/>
      <c r="C20" s="11" t="s">
        <v>229</v>
      </c>
      <c r="D20" s="35">
        <f t="shared" ref="D20" si="0">MAX(D5:D19)</f>
        <v>0</v>
      </c>
      <c r="E20" s="35">
        <f t="shared" ref="E20:H20" si="1">MAX(E5:E19)</f>
        <v>0</v>
      </c>
      <c r="F20" s="35">
        <f t="shared" si="1"/>
        <v>0</v>
      </c>
      <c r="G20" s="35">
        <f t="shared" si="1"/>
        <v>0</v>
      </c>
      <c r="H20" s="35">
        <f t="shared" si="1"/>
        <v>0</v>
      </c>
      <c r="I20" s="4" t="str">
        <f>IF(OR(SUM(E5:H19)&lt;7,SUM(E5:H19)&gt;7),"er zijn te veel of te weinig antwoorden gegeven, vul per vraag maar 1 waarde in!"," ")</f>
        <v>er zijn te veel of te weinig antwoorden gegeven, vul per vraag maar 1 waarde in!</v>
      </c>
    </row>
    <row r="21" spans="2:11" ht="27" customHeight="1" thickBot="1" x14ac:dyDescent="0.25">
      <c r="B21" s="154" t="s">
        <v>292</v>
      </c>
      <c r="C21" s="155"/>
      <c r="D21" s="35" t="str">
        <f>IF(D20&gt;0,D3, " ")</f>
        <v xml:space="preserve"> </v>
      </c>
      <c r="E21" s="35" t="str">
        <f>IF(E20&gt;0,E3, " ")</f>
        <v xml:space="preserve"> </v>
      </c>
      <c r="F21" s="35" t="str">
        <f>IF(F20&gt;0,F3, " ")</f>
        <v xml:space="preserve"> </v>
      </c>
      <c r="G21" s="35" t="str">
        <f>IF(G20&gt;0,G3, " ")</f>
        <v xml:space="preserve"> </v>
      </c>
      <c r="H21" s="35" t="str">
        <f>IF(H20&gt;0,H3, " ")</f>
        <v xml:space="preserve"> </v>
      </c>
      <c r="I21" s="156" t="str">
        <f>IF(D21=D3,"De BIO2 maatregelen met ABRO/ ABDO maatregelen en een aanvullende RA uitvoeren",IF(E21=E3,"De BIO2 maatregelen met ABRO/ ABDO Beschikbaarheid!1:1048576en eventueel een aanvullende RA uitvoeren",IF(F21=F3,"De classificatie is Vertrouwelijk, de BIO2 wordt gevolgt eventueel aangevuld met ABDO/ ABRO",IF(G21=G3,"De classificatie is Intern, de te kiezen beveiligingsmaatregelen uit de BIO2",IF(H21=H3,"De dataclassificatie is Openbaar, er zijn geen vertrouwelijkheidsmaatregelen uit de BIO noodzakelijk.","De vertrouwelijkheidsclassificatie is nog niet vastgesteld.")))))</f>
        <v>De vertrouwelijkheidsclassificatie is nog niet vastgesteld.</v>
      </c>
    </row>
    <row r="22" spans="2:11" ht="121" customHeight="1" thickBot="1" x14ac:dyDescent="0.25">
      <c r="B22" s="138" t="s">
        <v>293</v>
      </c>
      <c r="C22" s="139"/>
      <c r="D22" s="119" t="str">
        <f>IF(D21=D3,D21,IF(E21=E3,E21,IF(F21=F3,F3,IF(G21=G3,G3,IF(H21=H3,H3,"Niets ingevuld")))))</f>
        <v>Niets ingevuld</v>
      </c>
      <c r="E22" s="120"/>
      <c r="F22" s="120"/>
      <c r="G22" s="120"/>
      <c r="H22" s="121"/>
      <c r="I22" s="157"/>
      <c r="K22" s="19"/>
    </row>
    <row r="23" spans="2:11" ht="29.25" customHeight="1" thickBot="1" x14ac:dyDescent="0.25">
      <c r="B23" s="40"/>
      <c r="C23" s="40"/>
      <c r="D23" s="40"/>
      <c r="E23" s="38"/>
      <c r="F23" s="38"/>
      <c r="G23" s="38"/>
      <c r="H23" s="65"/>
      <c r="I23" s="37"/>
      <c r="K23" s="19"/>
    </row>
    <row r="24" spans="2:11" ht="21.75" customHeight="1" thickBot="1" x14ac:dyDescent="0.25">
      <c r="B24" s="34" t="s">
        <v>183</v>
      </c>
      <c r="C24" s="111" t="s">
        <v>294</v>
      </c>
      <c r="D24" s="112"/>
      <c r="E24" s="112"/>
      <c r="F24" s="112"/>
      <c r="G24" s="112"/>
      <c r="H24" s="112"/>
      <c r="I24" s="110"/>
    </row>
    <row r="25" spans="2:11" ht="92.25" customHeight="1" thickBot="1" x14ac:dyDescent="0.25">
      <c r="B25" s="89" t="str">
        <f>D3</f>
        <v>Geheim / Zeer Geheim</v>
      </c>
      <c r="C25" s="148" t="s">
        <v>295</v>
      </c>
      <c r="D25" s="149"/>
      <c r="E25" s="149"/>
      <c r="F25" s="149"/>
      <c r="G25" s="149"/>
      <c r="H25" s="149"/>
      <c r="I25" s="150"/>
    </row>
    <row r="26" spans="2:11" ht="68.5" customHeight="1" thickBot="1" x14ac:dyDescent="0.25">
      <c r="B26" s="89" t="str">
        <f>E3</f>
        <v>Confidentieel</v>
      </c>
      <c r="C26" s="158" t="s">
        <v>296</v>
      </c>
      <c r="D26" s="159"/>
      <c r="E26" s="159"/>
      <c r="F26" s="159"/>
      <c r="G26" s="159"/>
      <c r="H26" s="159"/>
      <c r="I26" s="160"/>
    </row>
    <row r="27" spans="2:11" ht="89.25" customHeight="1" thickBot="1" x14ac:dyDescent="0.25">
      <c r="B27" s="90" t="str">
        <f>F3</f>
        <v>Vertrouwelijk</v>
      </c>
      <c r="C27" s="148" t="s">
        <v>297</v>
      </c>
      <c r="D27" s="149"/>
      <c r="E27" s="149"/>
      <c r="F27" s="149"/>
      <c r="G27" s="149"/>
      <c r="H27" s="149"/>
      <c r="I27" s="150"/>
    </row>
    <row r="28" spans="2:11" ht="56.25" customHeight="1" thickBot="1" x14ac:dyDescent="0.25">
      <c r="B28" s="90" t="str">
        <f>G3</f>
        <v>Intern</v>
      </c>
      <c r="C28" s="148" t="s">
        <v>298</v>
      </c>
      <c r="D28" s="149"/>
      <c r="E28" s="149"/>
      <c r="F28" s="149"/>
      <c r="G28" s="149"/>
      <c r="H28" s="149"/>
      <c r="I28" s="150"/>
    </row>
    <row r="29" spans="2:11" ht="72" customHeight="1" thickBot="1" x14ac:dyDescent="0.25">
      <c r="B29" s="91" t="str">
        <f>H3</f>
        <v>Openbaar</v>
      </c>
      <c r="C29" s="151" t="s">
        <v>299</v>
      </c>
      <c r="D29" s="152"/>
      <c r="E29" s="152"/>
      <c r="F29" s="152"/>
      <c r="G29" s="152"/>
      <c r="H29" s="152"/>
      <c r="I29" s="153"/>
    </row>
    <row r="30" spans="2:11" ht="16" thickTop="1" x14ac:dyDescent="0.2"/>
    <row r="32" spans="2:11" x14ac:dyDescent="0.2">
      <c r="B32" s="32"/>
      <c r="C32" s="33"/>
      <c r="D32" s="33"/>
      <c r="E32" s="33"/>
      <c r="F32" s="33"/>
    </row>
    <row r="33" spans="2:6" x14ac:dyDescent="0.2">
      <c r="B33" s="33"/>
      <c r="C33" s="33"/>
      <c r="D33" s="33"/>
      <c r="E33" s="33"/>
      <c r="F33" s="33"/>
    </row>
    <row r="34" spans="2:6" x14ac:dyDescent="0.2">
      <c r="B34" s="33"/>
      <c r="C34" s="33"/>
      <c r="D34" s="33"/>
      <c r="E34" s="33"/>
      <c r="F34" s="33"/>
    </row>
  </sheetData>
  <mergeCells count="23">
    <mergeCell ref="I4:I5"/>
    <mergeCell ref="B6:B7"/>
    <mergeCell ref="B14:B17"/>
    <mergeCell ref="B2:C2"/>
    <mergeCell ref="B3:C3"/>
    <mergeCell ref="B4:B5"/>
    <mergeCell ref="B8:B9"/>
    <mergeCell ref="I8:I9"/>
    <mergeCell ref="B10:B11"/>
    <mergeCell ref="I10:I11"/>
    <mergeCell ref="B12:B13"/>
    <mergeCell ref="E2:H2"/>
    <mergeCell ref="C27:I27"/>
    <mergeCell ref="C28:I28"/>
    <mergeCell ref="C29:I29"/>
    <mergeCell ref="B18:B19"/>
    <mergeCell ref="B21:C21"/>
    <mergeCell ref="B22:C22"/>
    <mergeCell ref="I21:I22"/>
    <mergeCell ref="C24:I24"/>
    <mergeCell ref="C26:I26"/>
    <mergeCell ref="C25:I25"/>
    <mergeCell ref="D22:H22"/>
  </mergeCells>
  <conditionalFormatting sqref="D15:E15">
    <cfRule type="cellIs" dxfId="1" priority="1" operator="equal">
      <formula>$H$4</formula>
    </cfRule>
  </conditionalFormatting>
  <conditionalFormatting sqref="D21:H21">
    <cfRule type="cellIs" dxfId="0" priority="2" operator="greaterThan">
      <formula>7</formula>
    </cfRule>
  </conditionalFormatting>
  <dataValidations count="1">
    <dataValidation type="list" allowBlank="1" showInputMessage="1" showErrorMessage="1" promptTitle="Vertrouwelijkheid" prompt="Kies een waarde van 0 of 1_x000a_" sqref="D5:H5 D7:H7 D9:H9 D11:H11 D13:H13 D15:H15 D19:H19" xr:uid="{2574484A-D8E8-1141-BE84-301797E1C138}">
      <formula1>Vertrouwelijkheid</formula1>
    </dataValidation>
  </dataValidations>
  <pageMargins left="0.41854166666666665" right="0.31496062992125984" top="0.55118110236220474" bottom="0.74803149606299213" header="0.31496062992125984" footer="0.31496062992125984"/>
  <pageSetup paperSize="9" scale="80" fitToHeight="2" orientation="portrait" r:id="rId1"/>
  <headerFooter>
    <oddHeader>&amp;R&amp;D</oddHeader>
    <oddFooter>&amp;LBaselinetoets BIO gemeenten&amp;C&amp;A&amp;R&amp;P van &amp;N</oddFooter>
  </headerFooter>
  <rowBreaks count="1" manualBreakCount="1">
    <brk id="22" min="1"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C2:G30"/>
  <sheetViews>
    <sheetView zoomScale="70" zoomScaleNormal="70" workbookViewId="0">
      <selection activeCell="E40" sqref="E40"/>
    </sheetView>
  </sheetViews>
  <sheetFormatPr baseColWidth="10" defaultColWidth="31" defaultRowHeight="15" x14ac:dyDescent="0.2"/>
  <cols>
    <col min="1" max="1" width="2.83203125" customWidth="1"/>
    <col min="2" max="2" width="3.6640625" customWidth="1"/>
    <col min="3" max="3" width="34.33203125" customWidth="1"/>
    <col min="4" max="4" width="28.5" customWidth="1"/>
    <col min="5" max="5" width="59.5" customWidth="1"/>
    <col min="6" max="6" width="15.5" customWidth="1"/>
    <col min="7" max="7" width="11.1640625" customWidth="1"/>
    <col min="8" max="8" width="36.5" customWidth="1"/>
  </cols>
  <sheetData>
    <row r="2" spans="3:7" x14ac:dyDescent="0.2">
      <c r="C2" s="14" t="s">
        <v>300</v>
      </c>
    </row>
    <row r="4" spans="3:7" x14ac:dyDescent="0.2">
      <c r="C4" s="14" t="s">
        <v>77</v>
      </c>
      <c r="D4" s="164" t="str">
        <f>'Algemene Vragen'!B17</f>
        <v xml:space="preserve">&lt;datum uitvoering informatie classificatie&gt; </v>
      </c>
      <c r="E4" s="164"/>
      <c r="G4" s="78" t="s">
        <v>301</v>
      </c>
    </row>
    <row r="5" spans="3:7" x14ac:dyDescent="0.2">
      <c r="C5" s="14" t="s">
        <v>302</v>
      </c>
      <c r="D5" s="122" t="str">
        <f>'Algemene Vragen'!B11</f>
        <v>&lt;opsteller baselinetoets&gt;</v>
      </c>
      <c r="E5" s="122"/>
    </row>
    <row r="6" spans="3:7" x14ac:dyDescent="0.2">
      <c r="C6" s="14" t="s">
        <v>69</v>
      </c>
      <c r="D6" s="122" t="str">
        <f>'Algemene Vragen'!B5</f>
        <v>&lt;organisatienaam&gt;</v>
      </c>
      <c r="E6" s="122"/>
    </row>
    <row r="7" spans="3:7" x14ac:dyDescent="0.2">
      <c r="C7" s="14" t="s">
        <v>71</v>
      </c>
      <c r="D7" s="122" t="str">
        <f>'Algemene Vragen'!B8</f>
        <v>&lt;afdeling/ bureau/ et cetera&gt;</v>
      </c>
      <c r="E7" s="122"/>
    </row>
    <row r="8" spans="3:7" x14ac:dyDescent="0.2">
      <c r="C8" s="14" t="s">
        <v>303</v>
      </c>
      <c r="D8" s="122" t="str">
        <f>'Algemene Vragen'!B38</f>
        <v>&lt;Om welk proces gaat het, wat is het doel?&gt;</v>
      </c>
      <c r="E8" s="122"/>
    </row>
    <row r="9" spans="3:7" ht="181" customHeight="1" x14ac:dyDescent="0.2">
      <c r="C9" s="95" t="s">
        <v>304</v>
      </c>
      <c r="D9" s="122" t="str">
        <f>'Algemene Vragen'!B54</f>
        <v xml:space="preserve">&lt;Vermeld hier welke gegevens worden verzameld/verwerkt binnen het proces, probeer zo volledig mogelijk te zijn.&gt;
Gegevens:
• &lt;Bijvoorbeeld financiële gegevens.&gt;
Persoonsgegevens:
• &lt;Bijvoorbeeld naam, adres en woonplaats, telefoonnummers of postcodes met huisnummers.&gt;
Bijzondere persoonsgegevens:
• &lt;Bijvoorbeeld burgerservicenummer (BSN), godsdienst of levensovertuiging, ras, politieke gezindheid, medische gegevens, seksuele leven, lidmaatschap van een vakvereniging, strafrechtelijke/ justitiële persoonsgegevens.&gt;
</v>
      </c>
      <c r="E9" s="122"/>
    </row>
    <row r="11" spans="3:7" ht="24" x14ac:dyDescent="0.3">
      <c r="C11" s="24" t="s">
        <v>305</v>
      </c>
      <c r="D11" s="24"/>
    </row>
    <row r="12" spans="3:7" x14ac:dyDescent="0.2">
      <c r="C12" s="25" t="s">
        <v>306</v>
      </c>
      <c r="D12" s="25"/>
      <c r="E12" s="25" t="s">
        <v>307</v>
      </c>
      <c r="F12" s="14"/>
    </row>
    <row r="13" spans="3:7" ht="83.25" customHeight="1" x14ac:dyDescent="0.2">
      <c r="C13" s="49" t="s">
        <v>308</v>
      </c>
      <c r="D13" s="50" t="str">
        <f>Beschikbaarheid!D25</f>
        <v>Niets ingevuld</v>
      </c>
      <c r="E13" s="50" t="str">
        <f>Beschikbaarheid!I25</f>
        <v>De beschikbaarheidsclassificatie is nog niet vastgesteld.</v>
      </c>
    </row>
    <row r="14" spans="3:7" ht="74.25" customHeight="1" x14ac:dyDescent="0.2">
      <c r="C14" s="49" t="s">
        <v>309</v>
      </c>
      <c r="D14" s="51" t="str">
        <f>Integriteit!D20</f>
        <v>Niets ingevuld</v>
      </c>
      <c r="E14" s="51" t="str">
        <f>Integriteit!I20</f>
        <v>De integriteitsclassificatie is nog niet vastgesteld.</v>
      </c>
      <c r="G14" s="23"/>
    </row>
    <row r="15" spans="3:7" ht="82" customHeight="1" x14ac:dyDescent="0.2">
      <c r="C15" s="49" t="s">
        <v>310</v>
      </c>
      <c r="D15" s="52" t="str">
        <f>Vertrouwelijkheid!D22</f>
        <v>Niets ingevuld</v>
      </c>
      <c r="E15" s="52" t="str">
        <f>Vertrouwelijkheid!I21</f>
        <v>De vertrouwelijkheidsclassificatie is nog niet vastgesteld.</v>
      </c>
    </row>
    <row r="17" spans="3:5" x14ac:dyDescent="0.2">
      <c r="C17" s="77"/>
    </row>
    <row r="18" spans="3:5" x14ac:dyDescent="0.2">
      <c r="C18" s="75" t="s">
        <v>311</v>
      </c>
    </row>
    <row r="19" spans="3:5" ht="16" x14ac:dyDescent="0.2">
      <c r="C19" s="163"/>
      <c r="D19" s="163"/>
      <c r="E19" s="163"/>
    </row>
    <row r="20" spans="3:5" x14ac:dyDescent="0.2">
      <c r="C20" s="75"/>
    </row>
    <row r="21" spans="3:5" x14ac:dyDescent="0.2">
      <c r="C21" s="75"/>
    </row>
    <row r="22" spans="3:5" x14ac:dyDescent="0.2">
      <c r="C22" s="75" t="s">
        <v>312</v>
      </c>
      <c r="D22" s="79">
        <f ca="1">NOW()</f>
        <v>46098.964298032406</v>
      </c>
    </row>
    <row r="23" spans="3:5" x14ac:dyDescent="0.2">
      <c r="C23" s="75"/>
    </row>
    <row r="24" spans="3:5" x14ac:dyDescent="0.2">
      <c r="C24" s="75"/>
    </row>
    <row r="25" spans="3:5" x14ac:dyDescent="0.2">
      <c r="C25" s="75" t="s">
        <v>313</v>
      </c>
      <c r="D25" s="80"/>
    </row>
    <row r="26" spans="3:5" x14ac:dyDescent="0.2">
      <c r="C26" s="75"/>
    </row>
    <row r="28" spans="3:5" x14ac:dyDescent="0.2">
      <c r="C28" s="76"/>
    </row>
    <row r="30" spans="3:5" x14ac:dyDescent="0.2">
      <c r="C30" t="s">
        <v>314</v>
      </c>
    </row>
  </sheetData>
  <mergeCells count="7">
    <mergeCell ref="C19:E19"/>
    <mergeCell ref="D9:E9"/>
    <mergeCell ref="D4:E4"/>
    <mergeCell ref="D5:E5"/>
    <mergeCell ref="D6:E6"/>
    <mergeCell ref="D7:E7"/>
    <mergeCell ref="D8:E8"/>
  </mergeCells>
  <pageMargins left="0.23622047244094491" right="0.23622047244094491" top="0.74803149606299213" bottom="0.74803149606299213" header="0.31496062992125984" footer="0.31496062992125984"/>
  <pageSetup paperSize="9" scale="81" orientation="portrait" r:id="rId1"/>
  <extLst>
    <ext xmlns:x14="http://schemas.microsoft.com/office/spreadsheetml/2009/9/main" uri="{78C0D931-6437-407d-A8EE-F0AAD7539E65}">
      <x14:conditionalFormattings>
        <x14:conditionalFormatting xmlns:xm="http://schemas.microsoft.com/office/excel/2006/main">
          <x14:cfRule type="colorScale" priority="1" id="{9F36510F-F2B0-0E45-BAF5-6046C2665044}">
            <x14:colorScale>
              <x14:cfvo type="percent">
                <xm:f>"0Vertrouwelijkheid!$F$3"</xm:f>
              </x14:cfvo>
              <x14:cfvo type="percent">
                <xm:f>Vertrouwelijkheid!$F$3</xm:f>
              </x14:cfvo>
              <x14:cfvo type="percent">
                <xm:f>"100Vertrouwelijkheid!$D$3"</xm:f>
              </x14:cfvo>
              <x14:color theme="9" tint="0.39997558519241921"/>
              <x14:color theme="7" tint="0.39997558519241921"/>
              <x14:color theme="5" tint="0.59999389629810485"/>
            </x14:colorScale>
          </x14:cfRule>
          <xm:sqref>D13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35"/>
  <sheetViews>
    <sheetView workbookViewId="0">
      <selection activeCell="O24" sqref="O24"/>
    </sheetView>
  </sheetViews>
  <sheetFormatPr baseColWidth="10" defaultColWidth="8.83203125" defaultRowHeight="15" x14ac:dyDescent="0.2"/>
  <cols>
    <col min="3" max="3" width="11" customWidth="1"/>
    <col min="4" max="4" width="12" customWidth="1"/>
    <col min="5" max="5" width="26" customWidth="1"/>
    <col min="6" max="14" width="2.83203125" customWidth="1"/>
    <col min="16" max="16" width="12.33203125" customWidth="1"/>
    <col min="17" max="17" width="18" customWidth="1"/>
    <col min="18" max="20" width="4.5" customWidth="1"/>
  </cols>
  <sheetData>
    <row r="1" spans="1:22" x14ac:dyDescent="0.2">
      <c r="A1" t="s">
        <v>315</v>
      </c>
      <c r="U1" s="14" t="s">
        <v>316</v>
      </c>
    </row>
    <row r="2" spans="1:22" x14ac:dyDescent="0.2">
      <c r="C2" s="26" t="s">
        <v>317</v>
      </c>
      <c r="D2" s="19"/>
      <c r="E2" s="19"/>
      <c r="O2" s="14" t="s">
        <v>318</v>
      </c>
      <c r="U2" t="s">
        <v>319</v>
      </c>
    </row>
    <row r="3" spans="1:22" x14ac:dyDescent="0.2">
      <c r="C3" s="19"/>
      <c r="D3" s="19"/>
      <c r="E3" s="19"/>
      <c r="O3" t="s">
        <v>320</v>
      </c>
      <c r="Q3" t="s">
        <v>321</v>
      </c>
      <c r="V3" t="s">
        <v>322</v>
      </c>
    </row>
    <row r="4" spans="1:22" x14ac:dyDescent="0.2">
      <c r="C4" s="19"/>
      <c r="D4" s="19"/>
      <c r="E4" s="19"/>
      <c r="O4" t="s">
        <v>323</v>
      </c>
      <c r="Q4" t="s">
        <v>324</v>
      </c>
      <c r="V4" t="s">
        <v>325</v>
      </c>
    </row>
    <row r="5" spans="1:22" x14ac:dyDescent="0.2">
      <c r="C5" s="19"/>
      <c r="D5" s="19"/>
      <c r="E5" s="19"/>
      <c r="O5">
        <v>0</v>
      </c>
      <c r="V5" t="s">
        <v>326</v>
      </c>
    </row>
    <row r="6" spans="1:22" x14ac:dyDescent="0.2">
      <c r="C6" s="19"/>
      <c r="D6" s="19"/>
      <c r="E6" s="19"/>
      <c r="O6">
        <v>1</v>
      </c>
    </row>
    <row r="7" spans="1:22" x14ac:dyDescent="0.2">
      <c r="C7" s="19"/>
      <c r="D7" s="19"/>
      <c r="E7" s="19"/>
      <c r="U7" t="s">
        <v>327</v>
      </c>
    </row>
    <row r="8" spans="1:22" x14ac:dyDescent="0.2">
      <c r="C8" s="19"/>
      <c r="D8" s="19"/>
      <c r="E8" s="19"/>
      <c r="V8" t="s">
        <v>328</v>
      </c>
    </row>
    <row r="9" spans="1:22" x14ac:dyDescent="0.2">
      <c r="C9" s="19"/>
      <c r="D9" s="19"/>
      <c r="E9" s="19"/>
      <c r="V9" t="s">
        <v>329</v>
      </c>
    </row>
    <row r="10" spans="1:22" x14ac:dyDescent="0.2">
      <c r="C10" s="19"/>
      <c r="D10" s="19"/>
      <c r="E10" s="19"/>
      <c r="V10" t="s">
        <v>330</v>
      </c>
    </row>
    <row r="11" spans="1:22" x14ac:dyDescent="0.2">
      <c r="C11" s="19"/>
      <c r="D11" s="19"/>
      <c r="E11" s="19"/>
      <c r="O11" t="s">
        <v>331</v>
      </c>
    </row>
    <row r="12" spans="1:22" x14ac:dyDescent="0.2">
      <c r="C12" s="19"/>
      <c r="D12" s="19"/>
      <c r="E12" s="19"/>
    </row>
    <row r="13" spans="1:22" x14ac:dyDescent="0.2">
      <c r="C13" s="19"/>
      <c r="D13" s="19"/>
      <c r="E13" s="19"/>
      <c r="O13">
        <v>0</v>
      </c>
      <c r="U13" t="s">
        <v>332</v>
      </c>
    </row>
    <row r="14" spans="1:22" x14ac:dyDescent="0.2">
      <c r="C14" s="19"/>
      <c r="D14" s="19"/>
      <c r="E14" s="19"/>
      <c r="O14">
        <v>1</v>
      </c>
      <c r="V14" t="s">
        <v>333</v>
      </c>
    </row>
    <row r="15" spans="1:22" x14ac:dyDescent="0.2">
      <c r="C15" s="19"/>
      <c r="D15" s="19"/>
      <c r="E15" s="19"/>
      <c r="V15" t="s">
        <v>334</v>
      </c>
    </row>
    <row r="16" spans="1:22" x14ac:dyDescent="0.2">
      <c r="C16" s="19"/>
      <c r="D16" s="19"/>
      <c r="E16" s="19"/>
      <c r="V16" t="s">
        <v>335</v>
      </c>
    </row>
    <row r="17" spans="3:22" x14ac:dyDescent="0.2">
      <c r="C17" s="19"/>
      <c r="D17" s="19"/>
      <c r="E17" s="19"/>
    </row>
    <row r="18" spans="3:22" x14ac:dyDescent="0.2">
      <c r="U18" t="s">
        <v>336</v>
      </c>
      <c r="V18" t="s">
        <v>337</v>
      </c>
    </row>
    <row r="20" spans="3:22" x14ac:dyDescent="0.2">
      <c r="O20" t="s">
        <v>338</v>
      </c>
    </row>
    <row r="22" spans="3:22" x14ac:dyDescent="0.2">
      <c r="O22">
        <v>0</v>
      </c>
      <c r="U22" t="s">
        <v>339</v>
      </c>
    </row>
    <row r="23" spans="3:22" x14ac:dyDescent="0.2">
      <c r="O23">
        <v>1</v>
      </c>
      <c r="U23" t="s">
        <v>340</v>
      </c>
    </row>
    <row r="24" spans="3:22" x14ac:dyDescent="0.2">
      <c r="U24" t="s">
        <v>341</v>
      </c>
    </row>
    <row r="25" spans="3:22" x14ac:dyDescent="0.2">
      <c r="U25" t="s">
        <v>342</v>
      </c>
    </row>
    <row r="26" spans="3:22" x14ac:dyDescent="0.2">
      <c r="U26" t="s">
        <v>343</v>
      </c>
    </row>
    <row r="28" spans="3:22" x14ac:dyDescent="0.2">
      <c r="O28" t="s">
        <v>344</v>
      </c>
      <c r="Q28" t="s">
        <v>345</v>
      </c>
      <c r="U28" t="s">
        <v>346</v>
      </c>
    </row>
    <row r="29" spans="3:22" x14ac:dyDescent="0.2">
      <c r="O29">
        <v>0</v>
      </c>
      <c r="Q29" t="s">
        <v>347</v>
      </c>
    </row>
    <row r="30" spans="3:22" x14ac:dyDescent="0.2">
      <c r="O30">
        <v>1</v>
      </c>
      <c r="Q30" t="s">
        <v>348</v>
      </c>
    </row>
    <row r="31" spans="3:22" x14ac:dyDescent="0.2">
      <c r="O31">
        <v>2</v>
      </c>
    </row>
    <row r="32" spans="3:22" x14ac:dyDescent="0.2">
      <c r="O32">
        <v>3</v>
      </c>
    </row>
    <row r="34" spans="17:17" x14ac:dyDescent="0.2">
      <c r="Q34" t="s">
        <v>264</v>
      </c>
    </row>
    <row r="35" spans="17:17" x14ac:dyDescent="0.2">
      <c r="Q35" t="s">
        <v>266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
  <sheetViews>
    <sheetView tabSelected="1" workbookViewId="0">
      <selection activeCell="B2" sqref="B2"/>
    </sheetView>
  </sheetViews>
  <sheetFormatPr baseColWidth="10" defaultColWidth="8.83203125" defaultRowHeight="15" x14ac:dyDescent="0.2"/>
  <cols>
    <col min="2" max="2" width="53.1640625" customWidth="1"/>
  </cols>
  <sheetData>
    <row r="1" spans="2:2" x14ac:dyDescent="0.2">
      <c r="B1" t="s">
        <v>349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Algemeen</vt:lpstr>
      <vt:lpstr>Algemene Vragen</vt:lpstr>
      <vt:lpstr>Beschikbaarheid</vt:lpstr>
      <vt:lpstr>Integriteit</vt:lpstr>
      <vt:lpstr>Vertrouwelijkheid</vt:lpstr>
      <vt:lpstr>Resultaat</vt:lpstr>
      <vt:lpstr>Waarderingstabellen</vt:lpstr>
      <vt:lpstr>Kladblok</vt:lpstr>
      <vt:lpstr>Beschikbaarheid!_ftn1</vt:lpstr>
      <vt:lpstr>Algemeen!_Toc367866010</vt:lpstr>
      <vt:lpstr>besalt</vt:lpstr>
      <vt:lpstr>besalt1</vt:lpstr>
      <vt:lpstr>Beschikbaarheid!beschikbaarheid</vt:lpstr>
      <vt:lpstr>beschikbaarheid</vt:lpstr>
      <vt:lpstr>Integriteit</vt:lpstr>
      <vt:lpstr>keuzep2</vt:lpstr>
      <vt:lpstr>'Algemene Vragen'!Print_Area</vt:lpstr>
      <vt:lpstr>Beschikbaarheid!Print_Area</vt:lpstr>
      <vt:lpstr>Integriteit!Print_Area</vt:lpstr>
      <vt:lpstr>Resultaat!Print_Area</vt:lpstr>
      <vt:lpstr>Vertrouwelijkheid!Print_Area</vt:lpstr>
      <vt:lpstr>privacy</vt:lpstr>
      <vt:lpstr>Vertrouwelijkheid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2025-12-15T21:03:13Z</dcterms:created>
  <dcterms:modified xsi:type="dcterms:W3CDTF">2026-03-17T22:09:23Z</dcterms:modified>
  <cp:category/>
  <cp:contentStatus/>
</cp:coreProperties>
</file>